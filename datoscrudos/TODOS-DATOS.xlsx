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9C6E520E-253D-4F0A-8697-67CD1BF845D8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TODOS-DATOS" sheetId="1" r:id="rId1"/>
    <sheet name="sectores" sheetId="7" r:id="rId2"/>
    <sheet name="tipocambio" sheetId="8" r:id="rId3"/>
    <sheet name="salariominimos" sheetId="9" r:id="rId4"/>
    <sheet name="libertadeconomica" sheetId="10" r:id="rId5"/>
    <sheet name="PIB" sheetId="2" r:id="rId6"/>
    <sheet name="export-import" sheetId="3" r:id="rId7"/>
    <sheet name="recaudaciontributaria" sheetId="4" r:id="rId8"/>
    <sheet name="deudapublica" sheetId="5" r:id="rId9"/>
    <sheet name="tasadesempleo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S2" i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3" i="9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2" i="10"/>
  <c r="B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" i="7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E2" i="1"/>
  <c r="G193" i="3"/>
  <c r="G191" i="3"/>
  <c r="G181" i="3"/>
  <c r="G179" i="3"/>
  <c r="G169" i="3"/>
  <c r="G167" i="3"/>
  <c r="G157" i="3"/>
  <c r="G155" i="3"/>
  <c r="G145" i="3"/>
  <c r="G143" i="3"/>
  <c r="G133" i="3"/>
  <c r="G131" i="3"/>
  <c r="G121" i="3"/>
  <c r="G119" i="3"/>
  <c r="G109" i="3"/>
  <c r="G107" i="3"/>
  <c r="G97" i="3"/>
  <c r="G96" i="3"/>
  <c r="G95" i="3"/>
  <c r="G85" i="3"/>
  <c r="G84" i="3"/>
  <c r="G83" i="3"/>
  <c r="G73" i="3"/>
  <c r="G72" i="3"/>
  <c r="G71" i="3"/>
  <c r="G61" i="3"/>
  <c r="G60" i="3"/>
  <c r="G59" i="3"/>
  <c r="G49" i="3"/>
  <c r="G48" i="3"/>
  <c r="G47" i="3"/>
  <c r="G37" i="3"/>
  <c r="G36" i="3"/>
  <c r="G35" i="3"/>
  <c r="G31" i="3"/>
  <c r="G25" i="3"/>
  <c r="G24" i="3"/>
  <c r="G23" i="3"/>
  <c r="G22" i="3"/>
  <c r="G19" i="3"/>
  <c r="G13" i="3"/>
  <c r="G12" i="3"/>
  <c r="E143" i="1"/>
  <c r="G10" i="3"/>
  <c r="G7" i="3"/>
  <c r="G3" i="3"/>
  <c r="G4" i="3"/>
  <c r="G5" i="3"/>
  <c r="G6" i="3"/>
  <c r="G8" i="3"/>
  <c r="G9" i="3"/>
  <c r="G14" i="3"/>
  <c r="G15" i="3"/>
  <c r="G16" i="3"/>
  <c r="G17" i="3"/>
  <c r="G18" i="3"/>
  <c r="G20" i="3"/>
  <c r="G21" i="3"/>
  <c r="G26" i="3"/>
  <c r="G27" i="3"/>
  <c r="G28" i="3"/>
  <c r="G29" i="3"/>
  <c r="G30" i="3"/>
  <c r="G32" i="3"/>
  <c r="G33" i="3"/>
  <c r="G34" i="3"/>
  <c r="G38" i="3"/>
  <c r="G39" i="3"/>
  <c r="G40" i="3"/>
  <c r="G41" i="3"/>
  <c r="G42" i="3"/>
  <c r="G43" i="3"/>
  <c r="G44" i="3"/>
  <c r="G45" i="3"/>
  <c r="G46" i="3"/>
  <c r="G50" i="3"/>
  <c r="G51" i="3"/>
  <c r="G52" i="3"/>
  <c r="G53" i="3"/>
  <c r="G54" i="3"/>
  <c r="G55" i="3"/>
  <c r="G56" i="3"/>
  <c r="G57" i="3"/>
  <c r="G58" i="3"/>
  <c r="G62" i="3"/>
  <c r="G63" i="3"/>
  <c r="G64" i="3"/>
  <c r="G65" i="3"/>
  <c r="G66" i="3"/>
  <c r="G67" i="3"/>
  <c r="G68" i="3"/>
  <c r="G69" i="3"/>
  <c r="G70" i="3"/>
  <c r="G74" i="3"/>
  <c r="G75" i="3"/>
  <c r="G76" i="3"/>
  <c r="G77" i="3"/>
  <c r="G78" i="3"/>
  <c r="G79" i="3"/>
  <c r="G80" i="3"/>
  <c r="G81" i="3"/>
  <c r="G82" i="3"/>
  <c r="G86" i="3"/>
  <c r="G87" i="3"/>
  <c r="G88" i="3"/>
  <c r="G89" i="3"/>
  <c r="G90" i="3"/>
  <c r="G91" i="3"/>
  <c r="G92" i="3"/>
  <c r="G93" i="3"/>
  <c r="G94" i="3"/>
  <c r="G98" i="3"/>
  <c r="G99" i="3"/>
  <c r="G100" i="3"/>
  <c r="G101" i="3"/>
  <c r="G102" i="3"/>
  <c r="G103" i="3"/>
  <c r="G104" i="3"/>
  <c r="G105" i="3"/>
  <c r="G106" i="3"/>
  <c r="G108" i="3"/>
  <c r="G110" i="3"/>
  <c r="G111" i="3"/>
  <c r="G112" i="3"/>
  <c r="G113" i="3"/>
  <c r="G114" i="3"/>
  <c r="G115" i="3"/>
  <c r="G116" i="3"/>
  <c r="G117" i="3"/>
  <c r="G118" i="3"/>
  <c r="G120" i="3"/>
  <c r="G122" i="3"/>
  <c r="G123" i="3"/>
  <c r="G124" i="3"/>
  <c r="G125" i="3"/>
  <c r="G126" i="3"/>
  <c r="G127" i="3"/>
  <c r="G128" i="3"/>
  <c r="G129" i="3"/>
  <c r="G130" i="3"/>
  <c r="G132" i="3"/>
  <c r="G134" i="3"/>
  <c r="G135" i="3"/>
  <c r="G136" i="3"/>
  <c r="G137" i="3"/>
  <c r="G138" i="3"/>
  <c r="G139" i="3"/>
  <c r="G140" i="3"/>
  <c r="G141" i="3"/>
  <c r="G142" i="3"/>
  <c r="G144" i="3"/>
  <c r="G146" i="3"/>
  <c r="G147" i="3"/>
  <c r="G148" i="3"/>
  <c r="G149" i="3"/>
  <c r="G150" i="3"/>
  <c r="G151" i="3"/>
  <c r="G152" i="3"/>
  <c r="G153" i="3"/>
  <c r="G154" i="3"/>
  <c r="G156" i="3"/>
  <c r="G158" i="3"/>
  <c r="G159" i="3"/>
  <c r="G160" i="3"/>
  <c r="G161" i="3"/>
  <c r="G162" i="3"/>
  <c r="G163" i="3"/>
  <c r="G164" i="3"/>
  <c r="G165" i="3"/>
  <c r="G166" i="3"/>
  <c r="G168" i="3"/>
  <c r="G170" i="3"/>
  <c r="G171" i="3"/>
  <c r="G172" i="3"/>
  <c r="G173" i="3"/>
  <c r="G174" i="3"/>
  <c r="G175" i="3"/>
  <c r="G176" i="3"/>
  <c r="G177" i="3"/>
  <c r="G178" i="3"/>
  <c r="G180" i="3"/>
  <c r="G182" i="3"/>
  <c r="G183" i="3"/>
  <c r="G184" i="3"/>
  <c r="G185" i="3"/>
  <c r="G186" i="3"/>
  <c r="G187" i="3"/>
  <c r="G188" i="3"/>
  <c r="G189" i="3"/>
  <c r="G190" i="3"/>
  <c r="G192" i="3"/>
  <c r="G194" i="3"/>
  <c r="G195" i="3"/>
  <c r="G196" i="3"/>
  <c r="G197" i="3"/>
  <c r="G198" i="3"/>
  <c r="G199" i="3"/>
  <c r="G200" i="3"/>
  <c r="G201" i="3"/>
  <c r="G2" i="3"/>
  <c r="E92" i="1"/>
  <c r="E61" i="1"/>
  <c r="E176" i="1"/>
  <c r="E164" i="1"/>
  <c r="E78" i="1"/>
  <c r="E197" i="1"/>
  <c r="E141" i="1"/>
  <c r="E54" i="1"/>
  <c r="E134" i="1"/>
  <c r="E187" i="1"/>
  <c r="E10" i="1"/>
  <c r="E158" i="1"/>
  <c r="E125" i="1"/>
  <c r="E190" i="1"/>
  <c r="E40" i="1"/>
  <c r="E83" i="1"/>
  <c r="E23" i="1"/>
  <c r="D108" i="1"/>
  <c r="D70" i="1"/>
  <c r="D153" i="1"/>
  <c r="D4" i="1"/>
  <c r="D89" i="1"/>
  <c r="D92" i="1"/>
  <c r="D152" i="1"/>
  <c r="D143" i="1"/>
  <c r="D107" i="1"/>
  <c r="D216" i="1"/>
  <c r="D136" i="1"/>
  <c r="D66" i="1"/>
  <c r="D30" i="1"/>
  <c r="D15" i="1"/>
  <c r="D124" i="1"/>
  <c r="D172" i="1"/>
  <c r="D204" i="1"/>
  <c r="D165" i="1"/>
  <c r="D61" i="1"/>
  <c r="D79" i="1"/>
  <c r="D28" i="1"/>
  <c r="D72" i="1"/>
  <c r="D21" i="1"/>
  <c r="D173" i="1"/>
  <c r="D48" i="1"/>
  <c r="D62" i="1"/>
  <c r="D137" i="1"/>
  <c r="D151" i="1"/>
  <c r="D191" i="1"/>
  <c r="D109" i="1"/>
  <c r="D26" i="1"/>
  <c r="D188" i="1"/>
  <c r="D25" i="1"/>
  <c r="D195" i="1"/>
  <c r="D96" i="1"/>
  <c r="D105" i="1"/>
  <c r="D167" i="1"/>
  <c r="D117" i="1"/>
  <c r="D16" i="1"/>
  <c r="D176" i="1"/>
  <c r="D177" i="1"/>
  <c r="D196" i="1"/>
  <c r="D93" i="1"/>
  <c r="D214" i="1"/>
  <c r="D194" i="1"/>
  <c r="D180" i="1"/>
  <c r="D38" i="1"/>
  <c r="D175" i="1"/>
  <c r="D211" i="1"/>
  <c r="D209" i="1"/>
  <c r="D155" i="1"/>
  <c r="D164" i="1"/>
  <c r="D52" i="1"/>
  <c r="D144" i="1"/>
  <c r="D14" i="1"/>
  <c r="D113" i="1"/>
  <c r="D94" i="1"/>
  <c r="D121" i="1"/>
  <c r="D100" i="1"/>
  <c r="D98" i="1"/>
  <c r="D85" i="1"/>
  <c r="D27" i="1"/>
  <c r="D183" i="1"/>
  <c r="D78" i="1"/>
  <c r="D129" i="1"/>
  <c r="D181" i="1"/>
  <c r="D24" i="1"/>
  <c r="D65" i="1"/>
  <c r="D170" i="1"/>
  <c r="D118" i="1"/>
  <c r="D208" i="1"/>
  <c r="D146" i="1"/>
  <c r="D29" i="1"/>
  <c r="D41" i="1"/>
  <c r="D46" i="1"/>
  <c r="D154" i="1"/>
  <c r="D197" i="1"/>
  <c r="D138" i="1"/>
  <c r="D145" i="1"/>
  <c r="D7" i="1"/>
  <c r="D99" i="1"/>
  <c r="D205" i="1"/>
  <c r="D73" i="1"/>
  <c r="D101" i="1"/>
  <c r="D169" i="1"/>
  <c r="D44" i="1"/>
  <c r="D102" i="1"/>
  <c r="D110" i="1"/>
  <c r="D141" i="1"/>
  <c r="D86" i="1"/>
  <c r="D19" i="1"/>
  <c r="D22" i="1"/>
  <c r="D104" i="1"/>
  <c r="D63" i="1"/>
  <c r="D17" i="1"/>
  <c r="D39" i="1"/>
  <c r="D60" i="1"/>
  <c r="D203" i="1"/>
  <c r="D127" i="1"/>
  <c r="D123" i="1"/>
  <c r="D54" i="1"/>
  <c r="D106" i="1"/>
  <c r="D64" i="1"/>
  <c r="D2" i="1"/>
  <c r="D162" i="1"/>
  <c r="D189" i="1"/>
  <c r="D8" i="1"/>
  <c r="D213" i="1"/>
  <c r="D47" i="1"/>
  <c r="D37" i="1"/>
  <c r="D156" i="1"/>
  <c r="D31" i="1"/>
  <c r="D134" i="1"/>
  <c r="D20" i="1"/>
  <c r="D6" i="1"/>
  <c r="D51" i="1"/>
  <c r="D71" i="1"/>
  <c r="D192" i="1"/>
  <c r="D179" i="1"/>
  <c r="D161" i="1"/>
  <c r="D115" i="1"/>
  <c r="D18" i="1"/>
  <c r="D88" i="1"/>
  <c r="D126" i="1"/>
  <c r="D187" i="1"/>
  <c r="D163" i="1"/>
  <c r="D206" i="1"/>
  <c r="D207" i="1"/>
  <c r="D67" i="1"/>
  <c r="D58" i="1"/>
  <c r="D87" i="1"/>
  <c r="D3" i="1"/>
  <c r="D56" i="1"/>
  <c r="D218" i="1"/>
  <c r="D43" i="1"/>
  <c r="D45" i="1"/>
  <c r="D10" i="1"/>
  <c r="D5" i="1"/>
  <c r="D33" i="1"/>
  <c r="D132" i="1"/>
  <c r="D119" i="1"/>
  <c r="D150" i="1"/>
  <c r="D81" i="1"/>
  <c r="D95" i="1"/>
  <c r="D53" i="1"/>
  <c r="D174" i="1"/>
  <c r="D135" i="1"/>
  <c r="D114" i="1"/>
  <c r="D158" i="1"/>
  <c r="D97" i="1"/>
  <c r="D11" i="1"/>
  <c r="D185" i="1"/>
  <c r="D57" i="1"/>
  <c r="D69" i="1"/>
  <c r="D77" i="1"/>
  <c r="D9" i="1"/>
  <c r="D201" i="1"/>
  <c r="D55" i="1"/>
  <c r="D50" i="1"/>
  <c r="D147" i="1"/>
  <c r="D125" i="1"/>
  <c r="D116" i="1"/>
  <c r="D168" i="1"/>
  <c r="D112" i="1"/>
  <c r="D131" i="1"/>
  <c r="D133" i="1"/>
  <c r="D178" i="1"/>
  <c r="D148" i="1"/>
  <c r="D42" i="1"/>
  <c r="D193" i="1"/>
  <c r="D32" i="1"/>
  <c r="D36" i="1"/>
  <c r="D190" i="1"/>
  <c r="D186" i="1"/>
  <c r="D130" i="1"/>
  <c r="D139" i="1"/>
  <c r="D184" i="1"/>
  <c r="D80" i="1"/>
  <c r="D91" i="1"/>
  <c r="D120" i="1"/>
  <c r="D128" i="1"/>
  <c r="D84" i="1"/>
  <c r="D35" i="1"/>
  <c r="D13" i="1"/>
  <c r="D40" i="1"/>
  <c r="D103" i="1"/>
  <c r="D159" i="1"/>
  <c r="D166" i="1"/>
  <c r="D59" i="1"/>
  <c r="D199" i="1"/>
  <c r="D202" i="1"/>
  <c r="D76" i="1"/>
  <c r="D74" i="1"/>
  <c r="D160" i="1"/>
  <c r="D217" i="1"/>
  <c r="D157" i="1"/>
  <c r="D83" i="1"/>
  <c r="D111" i="1"/>
  <c r="D49" i="1"/>
  <c r="D82" i="1"/>
  <c r="D210" i="1"/>
  <c r="D140" i="1"/>
  <c r="D149" i="1"/>
  <c r="D171" i="1"/>
  <c r="D34" i="1"/>
  <c r="D12" i="1"/>
  <c r="D142" i="1"/>
  <c r="D75" i="1"/>
  <c r="D23" i="1"/>
  <c r="D219" i="1"/>
  <c r="D90" i="1"/>
  <c r="D212" i="1"/>
  <c r="D182" i="1"/>
  <c r="D215" i="1"/>
  <c r="D200" i="1"/>
  <c r="D198" i="1"/>
  <c r="D68" i="1"/>
  <c r="D122" i="1"/>
  <c r="C108" i="1"/>
  <c r="C70" i="1"/>
  <c r="C153" i="1"/>
  <c r="C4" i="1"/>
  <c r="C89" i="1"/>
  <c r="C92" i="1"/>
  <c r="C152" i="1"/>
  <c r="C143" i="1"/>
  <c r="C107" i="1"/>
  <c r="C216" i="1"/>
  <c r="C136" i="1"/>
  <c r="C66" i="1"/>
  <c r="C30" i="1"/>
  <c r="C15" i="1"/>
  <c r="C124" i="1"/>
  <c r="C172" i="1"/>
  <c r="C204" i="1"/>
  <c r="C165" i="1"/>
  <c r="C61" i="1"/>
  <c r="C79" i="1"/>
  <c r="C28" i="1"/>
  <c r="C72" i="1"/>
  <c r="C21" i="1"/>
  <c r="C173" i="1"/>
  <c r="C48" i="1"/>
  <c r="C62" i="1"/>
  <c r="C137" i="1"/>
  <c r="C151" i="1"/>
  <c r="C191" i="1"/>
  <c r="C109" i="1"/>
  <c r="C26" i="1"/>
  <c r="C188" i="1"/>
  <c r="C25" i="1"/>
  <c r="C195" i="1"/>
  <c r="C96" i="1"/>
  <c r="C105" i="1"/>
  <c r="C167" i="1"/>
  <c r="C117" i="1"/>
  <c r="C16" i="1"/>
  <c r="C176" i="1"/>
  <c r="C177" i="1"/>
  <c r="C196" i="1"/>
  <c r="C93" i="1"/>
  <c r="C214" i="1"/>
  <c r="C194" i="1"/>
  <c r="C180" i="1"/>
  <c r="C38" i="1"/>
  <c r="C175" i="1"/>
  <c r="C211" i="1"/>
  <c r="C209" i="1"/>
  <c r="C155" i="1"/>
  <c r="C164" i="1"/>
  <c r="C52" i="1"/>
  <c r="C144" i="1"/>
  <c r="C14" i="1"/>
  <c r="C113" i="1"/>
  <c r="C94" i="1"/>
  <c r="C121" i="1"/>
  <c r="C100" i="1"/>
  <c r="C98" i="1"/>
  <c r="C85" i="1"/>
  <c r="C27" i="1"/>
  <c r="C183" i="1"/>
  <c r="C78" i="1"/>
  <c r="C129" i="1"/>
  <c r="C181" i="1"/>
  <c r="C24" i="1"/>
  <c r="C65" i="1"/>
  <c r="C170" i="1"/>
  <c r="C118" i="1"/>
  <c r="C208" i="1"/>
  <c r="C146" i="1"/>
  <c r="C29" i="1"/>
  <c r="C41" i="1"/>
  <c r="C46" i="1"/>
  <c r="C154" i="1"/>
  <c r="C197" i="1"/>
  <c r="C138" i="1"/>
  <c r="C145" i="1"/>
  <c r="C7" i="1"/>
  <c r="C99" i="1"/>
  <c r="C205" i="1"/>
  <c r="C73" i="1"/>
  <c r="C101" i="1"/>
  <c r="C169" i="1"/>
  <c r="C44" i="1"/>
  <c r="C102" i="1"/>
  <c r="C110" i="1"/>
  <c r="C141" i="1"/>
  <c r="C86" i="1"/>
  <c r="C19" i="1"/>
  <c r="C22" i="1"/>
  <c r="C104" i="1"/>
  <c r="C63" i="1"/>
  <c r="C17" i="1"/>
  <c r="C39" i="1"/>
  <c r="C60" i="1"/>
  <c r="C203" i="1"/>
  <c r="C127" i="1"/>
  <c r="C123" i="1"/>
  <c r="C54" i="1"/>
  <c r="C106" i="1"/>
  <c r="C64" i="1"/>
  <c r="C2" i="1"/>
  <c r="C162" i="1"/>
  <c r="C189" i="1"/>
  <c r="C8" i="1"/>
  <c r="C213" i="1"/>
  <c r="C47" i="1"/>
  <c r="C37" i="1"/>
  <c r="C156" i="1"/>
  <c r="C31" i="1"/>
  <c r="C134" i="1"/>
  <c r="C20" i="1"/>
  <c r="C6" i="1"/>
  <c r="C51" i="1"/>
  <c r="C71" i="1"/>
  <c r="C192" i="1"/>
  <c r="C179" i="1"/>
  <c r="C161" i="1"/>
  <c r="C115" i="1"/>
  <c r="C18" i="1"/>
  <c r="C88" i="1"/>
  <c r="C126" i="1"/>
  <c r="C187" i="1"/>
  <c r="C163" i="1"/>
  <c r="C206" i="1"/>
  <c r="C207" i="1"/>
  <c r="C67" i="1"/>
  <c r="C58" i="1"/>
  <c r="C87" i="1"/>
  <c r="C3" i="1"/>
  <c r="C56" i="1"/>
  <c r="C218" i="1"/>
  <c r="C43" i="1"/>
  <c r="C45" i="1"/>
  <c r="C10" i="1"/>
  <c r="C5" i="1"/>
  <c r="C33" i="1"/>
  <c r="C132" i="1"/>
  <c r="C119" i="1"/>
  <c r="C150" i="1"/>
  <c r="C81" i="1"/>
  <c r="C95" i="1"/>
  <c r="C53" i="1"/>
  <c r="C174" i="1"/>
  <c r="C135" i="1"/>
  <c r="C114" i="1"/>
  <c r="C158" i="1"/>
  <c r="C97" i="1"/>
  <c r="C11" i="1"/>
  <c r="C185" i="1"/>
  <c r="C57" i="1"/>
  <c r="C69" i="1"/>
  <c r="C77" i="1"/>
  <c r="C9" i="1"/>
  <c r="C201" i="1"/>
  <c r="C55" i="1"/>
  <c r="C50" i="1"/>
  <c r="C147" i="1"/>
  <c r="C125" i="1"/>
  <c r="C116" i="1"/>
  <c r="C168" i="1"/>
  <c r="C112" i="1"/>
  <c r="C131" i="1"/>
  <c r="C133" i="1"/>
  <c r="C178" i="1"/>
  <c r="C148" i="1"/>
  <c r="C42" i="1"/>
  <c r="C193" i="1"/>
  <c r="C32" i="1"/>
  <c r="C36" i="1"/>
  <c r="C190" i="1"/>
  <c r="C186" i="1"/>
  <c r="C130" i="1"/>
  <c r="C139" i="1"/>
  <c r="C184" i="1"/>
  <c r="C80" i="1"/>
  <c r="C91" i="1"/>
  <c r="C120" i="1"/>
  <c r="C128" i="1"/>
  <c r="C84" i="1"/>
  <c r="C35" i="1"/>
  <c r="C13" i="1"/>
  <c r="C40" i="1"/>
  <c r="C103" i="1"/>
  <c r="C159" i="1"/>
  <c r="C166" i="1"/>
  <c r="C59" i="1"/>
  <c r="C199" i="1"/>
  <c r="C202" i="1"/>
  <c r="C76" i="1"/>
  <c r="C74" i="1"/>
  <c r="C160" i="1"/>
  <c r="C217" i="1"/>
  <c r="C157" i="1"/>
  <c r="C83" i="1"/>
  <c r="C111" i="1"/>
  <c r="C49" i="1"/>
  <c r="C82" i="1"/>
  <c r="C210" i="1"/>
  <c r="C140" i="1"/>
  <c r="C149" i="1"/>
  <c r="C171" i="1"/>
  <c r="C34" i="1"/>
  <c r="C12" i="1"/>
  <c r="C142" i="1"/>
  <c r="C75" i="1"/>
  <c r="C23" i="1"/>
  <c r="C219" i="1"/>
  <c r="C90" i="1"/>
  <c r="C212" i="1"/>
  <c r="C182" i="1"/>
  <c r="C215" i="1"/>
  <c r="C200" i="1"/>
  <c r="C198" i="1"/>
  <c r="C68" i="1"/>
  <c r="B108" i="1"/>
  <c r="B70" i="1"/>
  <c r="B153" i="1"/>
  <c r="B4" i="1"/>
  <c r="B89" i="1"/>
  <c r="B92" i="1"/>
  <c r="B152" i="1"/>
  <c r="B143" i="1"/>
  <c r="B107" i="1"/>
  <c r="B216" i="1"/>
  <c r="B136" i="1"/>
  <c r="B66" i="1"/>
  <c r="B30" i="1"/>
  <c r="B15" i="1"/>
  <c r="B124" i="1"/>
  <c r="B172" i="1"/>
  <c r="B204" i="1"/>
  <c r="B165" i="1"/>
  <c r="B61" i="1"/>
  <c r="B79" i="1"/>
  <c r="B28" i="1"/>
  <c r="B72" i="1"/>
  <c r="B21" i="1"/>
  <c r="B173" i="1"/>
  <c r="B48" i="1"/>
  <c r="B62" i="1"/>
  <c r="B137" i="1"/>
  <c r="B151" i="1"/>
  <c r="B191" i="1"/>
  <c r="B109" i="1"/>
  <c r="B26" i="1"/>
  <c r="B188" i="1"/>
  <c r="B25" i="1"/>
  <c r="B195" i="1"/>
  <c r="B96" i="1"/>
  <c r="B105" i="1"/>
  <c r="B167" i="1"/>
  <c r="B117" i="1"/>
  <c r="B16" i="1"/>
  <c r="B176" i="1"/>
  <c r="B177" i="1"/>
  <c r="B196" i="1"/>
  <c r="B93" i="1"/>
  <c r="B214" i="1"/>
  <c r="B194" i="1"/>
  <c r="B180" i="1"/>
  <c r="B38" i="1"/>
  <c r="B175" i="1"/>
  <c r="B211" i="1"/>
  <c r="B209" i="1"/>
  <c r="B155" i="1"/>
  <c r="B164" i="1"/>
  <c r="B52" i="1"/>
  <c r="B144" i="1"/>
  <c r="B14" i="1"/>
  <c r="B113" i="1"/>
  <c r="B94" i="1"/>
  <c r="B121" i="1"/>
  <c r="B100" i="1"/>
  <c r="B98" i="1"/>
  <c r="B85" i="1"/>
  <c r="B27" i="1"/>
  <c r="B183" i="1"/>
  <c r="B78" i="1"/>
  <c r="B129" i="1"/>
  <c r="B181" i="1"/>
  <c r="B24" i="1"/>
  <c r="B65" i="1"/>
  <c r="B170" i="1"/>
  <c r="B118" i="1"/>
  <c r="B208" i="1"/>
  <c r="B146" i="1"/>
  <c r="B29" i="1"/>
  <c r="B41" i="1"/>
  <c r="B46" i="1"/>
  <c r="B154" i="1"/>
  <c r="B197" i="1"/>
  <c r="B138" i="1"/>
  <c r="B145" i="1"/>
  <c r="B7" i="1"/>
  <c r="B99" i="1"/>
  <c r="B205" i="1"/>
  <c r="B73" i="1"/>
  <c r="B101" i="1"/>
  <c r="B169" i="1"/>
  <c r="B44" i="1"/>
  <c r="B102" i="1"/>
  <c r="B110" i="1"/>
  <c r="B141" i="1"/>
  <c r="B86" i="1"/>
  <c r="B19" i="1"/>
  <c r="B22" i="1"/>
  <c r="B104" i="1"/>
  <c r="B63" i="1"/>
  <c r="B17" i="1"/>
  <c r="B39" i="1"/>
  <c r="B60" i="1"/>
  <c r="B203" i="1"/>
  <c r="B127" i="1"/>
  <c r="B123" i="1"/>
  <c r="B54" i="1"/>
  <c r="B106" i="1"/>
  <c r="B64" i="1"/>
  <c r="B162" i="1"/>
  <c r="B189" i="1"/>
  <c r="B8" i="1"/>
  <c r="B213" i="1"/>
  <c r="B47" i="1"/>
  <c r="B37" i="1"/>
  <c r="B156" i="1"/>
  <c r="B31" i="1"/>
  <c r="B134" i="1"/>
  <c r="B20" i="1"/>
  <c r="B6" i="1"/>
  <c r="B51" i="1"/>
  <c r="B71" i="1"/>
  <c r="B192" i="1"/>
  <c r="B179" i="1"/>
  <c r="B161" i="1"/>
  <c r="B115" i="1"/>
  <c r="B18" i="1"/>
  <c r="B88" i="1"/>
  <c r="B126" i="1"/>
  <c r="B187" i="1"/>
  <c r="B163" i="1"/>
  <c r="B206" i="1"/>
  <c r="B207" i="1"/>
  <c r="B67" i="1"/>
  <c r="B58" i="1"/>
  <c r="B87" i="1"/>
  <c r="B3" i="1"/>
  <c r="B56" i="1"/>
  <c r="B218" i="1"/>
  <c r="B43" i="1"/>
  <c r="B45" i="1"/>
  <c r="B10" i="1"/>
  <c r="B5" i="1"/>
  <c r="B33" i="1"/>
  <c r="B132" i="1"/>
  <c r="B119" i="1"/>
  <c r="B150" i="1"/>
  <c r="B81" i="1"/>
  <c r="B95" i="1"/>
  <c r="B53" i="1"/>
  <c r="B174" i="1"/>
  <c r="B135" i="1"/>
  <c r="B114" i="1"/>
  <c r="B158" i="1"/>
  <c r="B97" i="1"/>
  <c r="B11" i="1"/>
  <c r="B185" i="1"/>
  <c r="B57" i="1"/>
  <c r="B69" i="1"/>
  <c r="B77" i="1"/>
  <c r="B9" i="1"/>
  <c r="B201" i="1"/>
  <c r="B55" i="1"/>
  <c r="B50" i="1"/>
  <c r="B147" i="1"/>
  <c r="B125" i="1"/>
  <c r="B116" i="1"/>
  <c r="B168" i="1"/>
  <c r="B112" i="1"/>
  <c r="B131" i="1"/>
  <c r="B133" i="1"/>
  <c r="B178" i="1"/>
  <c r="B148" i="1"/>
  <c r="B42" i="1"/>
  <c r="B193" i="1"/>
  <c r="B32" i="1"/>
  <c r="B36" i="1"/>
  <c r="B190" i="1"/>
  <c r="B186" i="1"/>
  <c r="B130" i="1"/>
  <c r="B139" i="1"/>
  <c r="B184" i="1"/>
  <c r="B80" i="1"/>
  <c r="B91" i="1"/>
  <c r="B120" i="1"/>
  <c r="B128" i="1"/>
  <c r="B84" i="1"/>
  <c r="B35" i="1"/>
  <c r="B13" i="1"/>
  <c r="B40" i="1"/>
  <c r="B103" i="1"/>
  <c r="B159" i="1"/>
  <c r="B166" i="1"/>
  <c r="B59" i="1"/>
  <c r="B199" i="1"/>
  <c r="B202" i="1"/>
  <c r="B76" i="1"/>
  <c r="B74" i="1"/>
  <c r="B160" i="1"/>
  <c r="B217" i="1"/>
  <c r="B157" i="1"/>
  <c r="B83" i="1"/>
  <c r="B111" i="1"/>
  <c r="B49" i="1"/>
  <c r="B82" i="1"/>
  <c r="B210" i="1"/>
  <c r="B140" i="1"/>
  <c r="B149" i="1"/>
  <c r="B171" i="1"/>
  <c r="B34" i="1"/>
  <c r="B12" i="1"/>
  <c r="B142" i="1"/>
  <c r="B75" i="1"/>
  <c r="B23" i="1"/>
  <c r="B219" i="1"/>
  <c r="B90" i="1"/>
  <c r="B212" i="1"/>
  <c r="B182" i="1"/>
  <c r="B215" i="1"/>
  <c r="B200" i="1"/>
  <c r="B198" i="1"/>
  <c r="B68" i="1"/>
  <c r="C122" i="1"/>
  <c r="B122" i="1"/>
  <c r="E13" i="1" l="1"/>
  <c r="E140" i="1"/>
  <c r="E58" i="1"/>
  <c r="E182" i="1"/>
  <c r="E184" i="1"/>
  <c r="E67" i="1"/>
  <c r="E219" i="1"/>
  <c r="E111" i="1"/>
  <c r="E103" i="1"/>
  <c r="E186" i="1"/>
  <c r="E116" i="1"/>
  <c r="E97" i="1"/>
  <c r="E5" i="1"/>
  <c r="E163" i="1"/>
  <c r="E20" i="1"/>
  <c r="E106" i="1"/>
  <c r="E86" i="1"/>
  <c r="E138" i="1"/>
  <c r="E129" i="1"/>
  <c r="E52" i="1"/>
  <c r="E177" i="1"/>
  <c r="E191" i="1"/>
  <c r="E165" i="1"/>
  <c r="E152" i="1"/>
  <c r="E147" i="1"/>
  <c r="E123" i="1"/>
  <c r="E110" i="1"/>
  <c r="E154" i="1"/>
  <c r="E183" i="1"/>
  <c r="E155" i="1"/>
  <c r="E16" i="1"/>
  <c r="E122" i="1"/>
  <c r="E79" i="1"/>
  <c r="E89" i="1"/>
  <c r="E157" i="1"/>
  <c r="E32" i="1"/>
  <c r="E127" i="1"/>
  <c r="E117" i="1"/>
  <c r="E107" i="1"/>
  <c r="E28" i="1"/>
  <c r="E4" i="1"/>
  <c r="E114" i="1"/>
  <c r="E135" i="1"/>
  <c r="E12" i="1"/>
  <c r="E55" i="1"/>
  <c r="E203" i="1"/>
  <c r="E85" i="1"/>
  <c r="E167" i="1"/>
  <c r="E216" i="1"/>
  <c r="E72" i="1"/>
  <c r="E153" i="1"/>
  <c r="E126" i="1"/>
  <c r="E35" i="1"/>
  <c r="E88" i="1"/>
  <c r="E102" i="1"/>
  <c r="E209" i="1"/>
  <c r="E160" i="1"/>
  <c r="E193" i="1"/>
  <c r="E218" i="1"/>
  <c r="E37" i="1"/>
  <c r="E44" i="1"/>
  <c r="E41" i="1"/>
  <c r="E211" i="1"/>
  <c r="E68" i="1"/>
  <c r="E34" i="1"/>
  <c r="E74" i="1"/>
  <c r="E128" i="1"/>
  <c r="E42" i="1"/>
  <c r="E201" i="1"/>
  <c r="E53" i="1"/>
  <c r="E56" i="1"/>
  <c r="E115" i="1"/>
  <c r="E47" i="1"/>
  <c r="E60" i="1"/>
  <c r="E169" i="1"/>
  <c r="E29" i="1"/>
  <c r="E98" i="1"/>
  <c r="E175" i="1"/>
  <c r="E105" i="1"/>
  <c r="E136" i="1"/>
  <c r="E21" i="1"/>
  <c r="E70" i="1"/>
  <c r="E31" i="1"/>
  <c r="E217" i="1"/>
  <c r="E43" i="1"/>
  <c r="E156" i="1"/>
  <c r="E27" i="1"/>
  <c r="E174" i="1"/>
  <c r="E198" i="1"/>
  <c r="E171" i="1"/>
  <c r="E76" i="1"/>
  <c r="E120" i="1"/>
  <c r="E148" i="1"/>
  <c r="E9" i="1"/>
  <c r="E95" i="1"/>
  <c r="E3" i="1"/>
  <c r="E161" i="1"/>
  <c r="E213" i="1"/>
  <c r="E39" i="1"/>
  <c r="E101" i="1"/>
  <c r="E146" i="1"/>
  <c r="E100" i="1"/>
  <c r="E38" i="1"/>
  <c r="E96" i="1"/>
  <c r="E66" i="1"/>
  <c r="E173" i="1"/>
  <c r="E108" i="1"/>
  <c r="E45" i="1"/>
  <c r="E142" i="1"/>
  <c r="E50" i="1"/>
  <c r="E46" i="1"/>
  <c r="E84" i="1"/>
  <c r="E18" i="1"/>
  <c r="E200" i="1"/>
  <c r="E149" i="1"/>
  <c r="E202" i="1"/>
  <c r="E91" i="1"/>
  <c r="E178" i="1"/>
  <c r="E77" i="1"/>
  <c r="E81" i="1"/>
  <c r="E87" i="1"/>
  <c r="E179" i="1"/>
  <c r="E8" i="1"/>
  <c r="E17" i="1"/>
  <c r="E73" i="1"/>
  <c r="E208" i="1"/>
  <c r="E121" i="1"/>
  <c r="E180" i="1"/>
  <c r="E195" i="1"/>
  <c r="E30" i="1"/>
  <c r="E48" i="1"/>
  <c r="E65" i="1"/>
  <c r="G11" i="3"/>
  <c r="E199" i="1"/>
  <c r="E69" i="1"/>
  <c r="E192" i="1"/>
  <c r="E189" i="1"/>
  <c r="E63" i="1"/>
  <c r="E205" i="1"/>
  <c r="E118" i="1"/>
  <c r="E94" i="1"/>
  <c r="E194" i="1"/>
  <c r="E25" i="1"/>
  <c r="E15" i="1"/>
  <c r="E62" i="1"/>
  <c r="E80" i="1"/>
  <c r="E59" i="1"/>
  <c r="E119" i="1"/>
  <c r="E162" i="1"/>
  <c r="E104" i="1"/>
  <c r="E99" i="1"/>
  <c r="E170" i="1"/>
  <c r="E113" i="1"/>
  <c r="E214" i="1"/>
  <c r="E188" i="1"/>
  <c r="E124" i="1"/>
  <c r="E137" i="1"/>
  <c r="E75" i="1"/>
  <c r="E133" i="1"/>
  <c r="E57" i="1"/>
  <c r="E82" i="1"/>
  <c r="E139" i="1"/>
  <c r="E132" i="1"/>
  <c r="E51" i="1"/>
  <c r="E22" i="1"/>
  <c r="E24" i="1"/>
  <c r="E14" i="1"/>
  <c r="E93" i="1"/>
  <c r="E26" i="1"/>
  <c r="E172" i="1"/>
  <c r="E151" i="1"/>
  <c r="E36" i="1"/>
  <c r="E215" i="1"/>
  <c r="E150" i="1"/>
  <c r="E210" i="1"/>
  <c r="E131" i="1"/>
  <c r="E71" i="1"/>
  <c r="E212" i="1"/>
  <c r="E166" i="1"/>
  <c r="E112" i="1"/>
  <c r="E185" i="1"/>
  <c r="E207" i="1"/>
  <c r="E7" i="1"/>
  <c r="E90" i="1"/>
  <c r="E49" i="1"/>
  <c r="E159" i="1"/>
  <c r="E130" i="1"/>
  <c r="E168" i="1"/>
  <c r="E11" i="1"/>
  <c r="E33" i="1"/>
  <c r="E206" i="1"/>
  <c r="E6" i="1"/>
  <c r="E64" i="1"/>
  <c r="E19" i="1"/>
  <c r="E145" i="1"/>
  <c r="E181" i="1"/>
  <c r="E144" i="1"/>
  <c r="E196" i="1"/>
  <c r="E109" i="1"/>
  <c r="E204" i="1"/>
</calcChain>
</file>

<file path=xl/sharedStrings.xml><?xml version="1.0" encoding="utf-8"?>
<sst xmlns="http://schemas.openxmlformats.org/spreadsheetml/2006/main" count="3515" uniqueCount="1858">
  <si>
    <t>pais</t>
  </si>
  <si>
    <t>Liechtenstein</t>
  </si>
  <si>
    <t>Jamaica</t>
  </si>
  <si>
    <t>Finlandia</t>
  </si>
  <si>
    <t>Nueva Zelanda</t>
  </si>
  <si>
    <t>Alemania</t>
  </si>
  <si>
    <t>Hungría</t>
  </si>
  <si>
    <t>Irak</t>
  </si>
  <si>
    <t>Nueva Caledonia</t>
  </si>
  <si>
    <t>Mozambique</t>
  </si>
  <si>
    <t>Italia</t>
  </si>
  <si>
    <t>Yemen</t>
  </si>
  <si>
    <t>México</t>
  </si>
  <si>
    <t>Estonia</t>
  </si>
  <si>
    <t>Brunéi</t>
  </si>
  <si>
    <t>Austria</t>
  </si>
  <si>
    <t>Luxemburgo</t>
  </si>
  <si>
    <t>Rumania</t>
  </si>
  <si>
    <t>Trinidad y Tobago</t>
  </si>
  <si>
    <t>Puerto Rico</t>
  </si>
  <si>
    <t>Eslovaquia</t>
  </si>
  <si>
    <t>Groenlandia</t>
  </si>
  <si>
    <t>Botsuana</t>
  </si>
  <si>
    <t>Francia</t>
  </si>
  <si>
    <t>Bélgica</t>
  </si>
  <si>
    <t>Rusia</t>
  </si>
  <si>
    <t>Corea del Sur</t>
  </si>
  <si>
    <t>Eslovenia</t>
  </si>
  <si>
    <t>Micronesia</t>
  </si>
  <si>
    <t>Noruega</t>
  </si>
  <si>
    <t>Sudáfrica</t>
  </si>
  <si>
    <t>Japón</t>
  </si>
  <si>
    <t>Bolivia</t>
  </si>
  <si>
    <t>Siria</t>
  </si>
  <si>
    <t>Bielorrusia</t>
  </si>
  <si>
    <t>Suiza</t>
  </si>
  <si>
    <t>Islandia</t>
  </si>
  <si>
    <t>Islas Vírgenes de los EE. UU.</t>
  </si>
  <si>
    <t>Reino Unido</t>
  </si>
  <si>
    <t>Lesoto</t>
  </si>
  <si>
    <t>Azerbaiyán</t>
  </si>
  <si>
    <t>San Cristóbal y Nieves</t>
  </si>
  <si>
    <t>San Marino</t>
  </si>
  <si>
    <t>Surinam</t>
  </si>
  <si>
    <t>Irán</t>
  </si>
  <si>
    <t>Venezuela</t>
  </si>
  <si>
    <t>Suecia</t>
  </si>
  <si>
    <t>Santa Lucía</t>
  </si>
  <si>
    <t>Canadá</t>
  </si>
  <si>
    <t>Samoa Americana</t>
  </si>
  <si>
    <t>Uruguay</t>
  </si>
  <si>
    <t>Ucrania</t>
  </si>
  <si>
    <t>Países Bajos</t>
  </si>
  <si>
    <t>Portugal</t>
  </si>
  <si>
    <t>Cuba</t>
  </si>
  <si>
    <t>Myanmar</t>
  </si>
  <si>
    <t>Australia</t>
  </si>
  <si>
    <t>Kirguistán</t>
  </si>
  <si>
    <t>Irlanda</t>
  </si>
  <si>
    <t>Libia</t>
  </si>
  <si>
    <t>Islas Marianas del Norte</t>
  </si>
  <si>
    <t>Islas Cook</t>
  </si>
  <si>
    <t>Guyana</t>
  </si>
  <si>
    <t>Bosnia y Herzegovina</t>
  </si>
  <si>
    <t>Serbia</t>
  </si>
  <si>
    <t>Grecia</t>
  </si>
  <si>
    <t>Malaui</t>
  </si>
  <si>
    <t>Santo Tomé y Príncipe</t>
  </si>
  <si>
    <t>Bermudas</t>
  </si>
  <si>
    <t>Estados Unidos</t>
  </si>
  <si>
    <t>República Dominicana</t>
  </si>
  <si>
    <t>Letonia</t>
  </si>
  <si>
    <t>Tuvalu</t>
  </si>
  <si>
    <t>Nauru</t>
  </si>
  <si>
    <t>Brasil</t>
  </si>
  <si>
    <t>Chile</t>
  </si>
  <si>
    <t>Congo</t>
  </si>
  <si>
    <t>Omán</t>
  </si>
  <si>
    <t>Tailandia</t>
  </si>
  <si>
    <t>Moldavia</t>
  </si>
  <si>
    <t>Namibia</t>
  </si>
  <si>
    <t>Anguila</t>
  </si>
  <si>
    <t>Islas Feroe</t>
  </si>
  <si>
    <t>Túnez</t>
  </si>
  <si>
    <t>Gabón</t>
  </si>
  <si>
    <t>Islas Marshall</t>
  </si>
  <si>
    <t>República Checa (Chequia)</t>
  </si>
  <si>
    <t>Colombia</t>
  </si>
  <si>
    <t>Islas Salomón</t>
  </si>
  <si>
    <t>Jordania</t>
  </si>
  <si>
    <t>Montenegro</t>
  </si>
  <si>
    <t>Haití</t>
  </si>
  <si>
    <t>Barbados</t>
  </si>
  <si>
    <t>Belice</t>
  </si>
  <si>
    <t>Islas Vírgenes Británicas</t>
  </si>
  <si>
    <t>España</t>
  </si>
  <si>
    <t>Bahamas</t>
  </si>
  <si>
    <t>Catar</t>
  </si>
  <si>
    <t>Eritrea</t>
  </si>
  <si>
    <t>Tonga</t>
  </si>
  <si>
    <t>Madagascar</t>
  </si>
  <si>
    <t>Lituania</t>
  </si>
  <si>
    <t>Dinamarca</t>
  </si>
  <si>
    <t>Israel</t>
  </si>
  <si>
    <t>Estado de Palestina</t>
  </si>
  <si>
    <t>Afganistán</t>
  </si>
  <si>
    <t>Polinesia Francesa</t>
  </si>
  <si>
    <t>Somalia</t>
  </si>
  <si>
    <t>Antigua y Barbuda</t>
  </si>
  <si>
    <t>Vanuatu</t>
  </si>
  <si>
    <t>Corea del Norte</t>
  </si>
  <si>
    <t>Camerún</t>
  </si>
  <si>
    <t>Pakistán</t>
  </si>
  <si>
    <t>Bulgaria</t>
  </si>
  <si>
    <t>Mauricio</t>
  </si>
  <si>
    <t>Baréin</t>
  </si>
  <si>
    <t>Angola</t>
  </si>
  <si>
    <t>Croacia</t>
  </si>
  <si>
    <t>Fiyi</t>
  </si>
  <si>
    <t>Sudán</t>
  </si>
  <si>
    <t>San Vicente y las Granadinas</t>
  </si>
  <si>
    <t>Perú</t>
  </si>
  <si>
    <t>Kuwait</t>
  </si>
  <si>
    <t>Bangladesh</t>
  </si>
  <si>
    <t>Hong Kong</t>
  </si>
  <si>
    <t>Macedonia del Norte</t>
  </si>
  <si>
    <t>Sint Maarten</t>
  </si>
  <si>
    <t>Polonia</t>
  </si>
  <si>
    <t>Turkmenistán</t>
  </si>
  <si>
    <t>Turquía</t>
  </si>
  <si>
    <t>Esuatini</t>
  </si>
  <si>
    <t>El Salvador</t>
  </si>
  <si>
    <t>Honduras</t>
  </si>
  <si>
    <t>Albania</t>
  </si>
  <si>
    <t>Ecuador</t>
  </si>
  <si>
    <t>Zambia</t>
  </si>
  <si>
    <t>Chipre</t>
  </si>
  <si>
    <t>Comoras</t>
  </si>
  <si>
    <t>Argelia</t>
  </si>
  <si>
    <t>Andorra</t>
  </si>
  <si>
    <t>Burundi</t>
  </si>
  <si>
    <t>Malta</t>
  </si>
  <si>
    <t>Líbano</t>
  </si>
  <si>
    <t>Nigeria</t>
  </si>
  <si>
    <t>Guatemala</t>
  </si>
  <si>
    <t>Isla de Man</t>
  </si>
  <si>
    <t>Curazao</t>
  </si>
  <si>
    <t>Samoa</t>
  </si>
  <si>
    <t>Mauritania</t>
  </si>
  <si>
    <t>Kiribati</t>
  </si>
  <si>
    <t>Panamá</t>
  </si>
  <si>
    <t>Islas Caimán</t>
  </si>
  <si>
    <t>Argentina</t>
  </si>
  <si>
    <t>Sierra Leona</t>
  </si>
  <si>
    <t>Egipto</t>
  </si>
  <si>
    <t>Filipinas</t>
  </si>
  <si>
    <t>Granada</t>
  </si>
  <si>
    <t>Arabia Saudita</t>
  </si>
  <si>
    <t>Timor Oriental</t>
  </si>
  <si>
    <t>Dominica</t>
  </si>
  <si>
    <t>Costa Rica</t>
  </si>
  <si>
    <t>Nepal</t>
  </si>
  <si>
    <t>Macao</t>
  </si>
  <si>
    <t>Laos</t>
  </si>
  <si>
    <t>República Centroafricana</t>
  </si>
  <si>
    <t>Kenia</t>
  </si>
  <si>
    <t>Malí</t>
  </si>
  <si>
    <t>Marruecos</t>
  </si>
  <si>
    <t>San Martín</t>
  </si>
  <si>
    <t>Nicaragua</t>
  </si>
  <si>
    <t>China</t>
  </si>
  <si>
    <t>Sudán del Sur</t>
  </si>
  <si>
    <t>Burkina Faso</t>
  </si>
  <si>
    <t>Camboya</t>
  </si>
  <si>
    <t>Sri Lanka</t>
  </si>
  <si>
    <t>Singapur</t>
  </si>
  <si>
    <t>Maldivas</t>
  </si>
  <si>
    <t>Mónaco</t>
  </si>
  <si>
    <t>Seychelles</t>
  </si>
  <si>
    <t>Guam</t>
  </si>
  <si>
    <t>Indonesia</t>
  </si>
  <si>
    <t>Liberia</t>
  </si>
  <si>
    <t>Malasia</t>
  </si>
  <si>
    <t>Guinea-Bisáu</t>
  </si>
  <si>
    <t>Cabo Verde</t>
  </si>
  <si>
    <t>Aruba</t>
  </si>
  <si>
    <t>Chad</t>
  </si>
  <si>
    <t>Islas Turcas y Caicos</t>
  </si>
  <si>
    <t>Papúa Nueva Guinea</t>
  </si>
  <si>
    <t>RD Congo</t>
  </si>
  <si>
    <t>Emiratos Árabes Unidos</t>
  </si>
  <si>
    <t>Tanzania</t>
  </si>
  <si>
    <t>Togo</t>
  </si>
  <si>
    <t>Ghana</t>
  </si>
  <si>
    <t>Gambia</t>
  </si>
  <si>
    <t>Paraguay</t>
  </si>
  <si>
    <t>Yibuti</t>
  </si>
  <si>
    <t>Palaos</t>
  </si>
  <si>
    <t>Guinea Ecuatorial</t>
  </si>
  <si>
    <t>Kazajistán</t>
  </si>
  <si>
    <t>Costa de Marfil</t>
  </si>
  <si>
    <t>Guinea</t>
  </si>
  <si>
    <t>Uganda</t>
  </si>
  <si>
    <t>Mongolia</t>
  </si>
  <si>
    <t>Níger</t>
  </si>
  <si>
    <t>Ruanda</t>
  </si>
  <si>
    <t>Bután</t>
  </si>
  <si>
    <t>Armenia</t>
  </si>
  <si>
    <t>Montserrat</t>
  </si>
  <si>
    <t>Georgia</t>
  </si>
  <si>
    <t>Benín</t>
  </si>
  <si>
    <t>Zimbabue</t>
  </si>
  <si>
    <t>India</t>
  </si>
  <si>
    <t>Uzbekistán</t>
  </si>
  <si>
    <t>Senegal</t>
  </si>
  <si>
    <t>Vietnam</t>
  </si>
  <si>
    <t>Tayikistán</t>
  </si>
  <si>
    <t>Taiwán</t>
  </si>
  <si>
    <t>Etiopía</t>
  </si>
  <si>
    <t>PIB</t>
  </si>
  <si>
    <t>crecimientopib</t>
  </si>
  <si>
    <t>ingresos_fiscales_m</t>
  </si>
  <si>
    <t>PIB (Valor total)</t>
  </si>
  <si>
    <t>Crecimiento del PIB</t>
  </si>
  <si>
    <t>PIB per cápita</t>
  </si>
  <si>
    <t>8.991.000.000</t>
  </si>
  <si>
    <t>–</t>
  </si>
  <si>
    <t>22.313.000.000</t>
  </si>
  <si>
    <t>−0,06%</t>
  </si>
  <si>
    <t>316.860.000.000</t>
  </si>
  <si>
    <t>0,17%</t>
  </si>
  <si>
    <t>258.832.000.000</t>
  </si>
  <si>
    <t>0,18%</t>
  </si>
  <si>
    <t>5.048.059.000.000</t>
  </si>
  <si>
    <t>0,24%</t>
  </si>
  <si>
    <t>246.891.000.000</t>
  </si>
  <si>
    <t>0,41%</t>
  </si>
  <si>
    <t>264.167.000.000</t>
  </si>
  <si>
    <t>−0,41%</t>
  </si>
  <si>
    <t>10.139.988.153</t>
  </si>
  <si>
    <t>22.338.000.000</t>
  </si>
  <si>
    <t>−0,52%</t>
  </si>
  <si>
    <t>2.550.111.000.000</t>
  </si>
  <si>
    <t>0,54%</t>
  </si>
  <si>
    <t>7.897.000.000</t>
  </si>
  <si>
    <t>−0,54%</t>
  </si>
  <si>
    <t>1.832.641.000.000</t>
  </si>
  <si>
    <t>0,56%</t>
  </si>
  <si>
    <t>47.004.000.000</t>
  </si>
  <si>
    <t>0,58%</t>
  </si>
  <si>
    <t>15.942.000.000</t>
  </si>
  <si>
    <t>0,60%</t>
  </si>
  <si>
    <t>579.928.000.000</t>
  </si>
  <si>
    <t>0,62%</t>
  </si>
  <si>
    <t>101.100.000.000</t>
  </si>
  <si>
    <t>0,64%</t>
  </si>
  <si>
    <t>427.941.000.000</t>
  </si>
  <si>
    <t>0,67%</t>
  </si>
  <si>
    <t>25.932.000.000</t>
  </si>
  <si>
    <t>0,78%</t>
  </si>
  <si>
    <t>126.525.000.000</t>
  </si>
  <si>
    <t>−0,80%</t>
  </si>
  <si>
    <t>154.442.000.000</t>
  </si>
  <si>
    <t>0,81%</t>
  </si>
  <si>
    <t>3.326.544.174</t>
  </si>
  <si>
    <t>0,87%</t>
  </si>
  <si>
    <t>19.533.000.000</t>
  </si>
  <si>
    <t>−0,89%</t>
  </si>
  <si>
    <t>3.368.925.000.000</t>
  </si>
  <si>
    <t>0,93%</t>
  </si>
  <si>
    <t>724.917.000.000</t>
  </si>
  <si>
    <t>0,97%</t>
  </si>
  <si>
    <t>2.587.938.000.000</t>
  </si>
  <si>
    <t>0,98%</t>
  </si>
  <si>
    <t>1.872.375.000.000</t>
  </si>
  <si>
    <t>1,01%</t>
  </si>
  <si>
    <t>79.603.000.000</t>
  </si>
  <si>
    <t>1,06%</t>
  </si>
  <si>
    <t>502.000.000</t>
  </si>
  <si>
    <t>530.756.000.000</t>
  </si>
  <si>
    <t>1,08%</t>
  </si>
  <si>
    <t>427.141.000.000</t>
  </si>
  <si>
    <t>1,11%</t>
  </si>
  <si>
    <t>4.435.163.000.000</t>
  </si>
  <si>
    <t>1,19%</t>
  </si>
  <si>
    <t>64.250.000.000</t>
  </si>
  <si>
    <t>−1,20%</t>
  </si>
  <si>
    <t>19.993.439.950</t>
  </si>
  <si>
    <t>−1,21%</t>
  </si>
  <si>
    <t>92.766.000.000</t>
  </si>
  <si>
    <t>1,26%</t>
  </si>
  <si>
    <t>1.043.544.000.000</t>
  </si>
  <si>
    <t>1,27%</t>
  </si>
  <si>
    <t>38.583.000.000</t>
  </si>
  <si>
    <t>1,28%</t>
  </si>
  <si>
    <t>4.672.000.000</t>
  </si>
  <si>
    <t>−1,31%</t>
  </si>
  <si>
    <t>4.003.022.000.000</t>
  </si>
  <si>
    <t>1,32%</t>
  </si>
  <si>
    <t>2.854.000.000</t>
  </si>
  <si>
    <t>1,39%</t>
  </si>
  <si>
    <t>75.938.000.000</t>
  </si>
  <si>
    <t>1,40%</t>
  </si>
  <si>
    <t>1.082.000.000</t>
  </si>
  <si>
    <t>1,50%</t>
  </si>
  <si>
    <t>2.251.000.000</t>
  </si>
  <si>
    <t>4.664.000.000</t>
  </si>
  <si>
    <t>1,51%</t>
  </si>
  <si>
    <t>371.196.000.000</t>
  </si>
  <si>
    <t>−1,52%</t>
  </si>
  <si>
    <t>99.661.000.000</t>
  </si>
  <si>
    <t>1,53%</t>
  </si>
  <si>
    <t>668.999.000.000</t>
  </si>
  <si>
    <t>1,54%</t>
  </si>
  <si>
    <t>2.651.000.000</t>
  </si>
  <si>
    <t>1,65%</t>
  </si>
  <si>
    <t>2.319.900.000.000</t>
  </si>
  <si>
    <t>1,74%</t>
  </si>
  <si>
    <t>871.000.000</t>
  </si>
  <si>
    <t>85.575.000.000</t>
  </si>
  <si>
    <t>1,78%</t>
  </si>
  <si>
    <t>212.927.000.000</t>
  </si>
  <si>
    <t>1,80%</t>
  </si>
  <si>
    <t>1.332.240.000.000</t>
  </si>
  <si>
    <t>1,86%</t>
  </si>
  <si>
    <t>346.412.000.000</t>
  </si>
  <si>
    <t>201.985.998.168</t>
  </si>
  <si>
    <t>−1,93%</t>
  </si>
  <si>
    <t>82.400.000.000</t>
  </si>
  <si>
    <t>−1,96%</t>
  </si>
  <si>
    <t>1.839.961.000.000</t>
  </si>
  <si>
    <t>1,97%</t>
  </si>
  <si>
    <t>21.567.000.000</t>
  </si>
  <si>
    <t>11,10%</t>
  </si>
  <si>
    <t>718.140.000.000</t>
  </si>
  <si>
    <t>12,34%</t>
  </si>
  <si>
    <t>44.732.000.000</t>
  </si>
  <si>
    <t>15,87%</t>
  </si>
  <si>
    <t>1.096.000.000</t>
  </si>
  <si>
    <t>16,64%</t>
  </si>
  <si>
    <t>366.211.548</t>
  </si>
  <si>
    <t>19,07%</t>
  </si>
  <si>
    <t>27.097.000.000</t>
  </si>
  <si>
    <t>19,31%</t>
  </si>
  <si>
    <t>32.962.000.000</t>
  </si>
  <si>
    <t>2,00%</t>
  </si>
  <si>
    <t>99.953.000.000</t>
  </si>
  <si>
    <t>2,03%</t>
  </si>
  <si>
    <t>280.476.000.000</t>
  </si>
  <si>
    <t>2,07%</t>
  </si>
  <si>
    <t>15.047.000.000</t>
  </si>
  <si>
    <t>2,09%</t>
  </si>
  <si>
    <t>981.000.000</t>
  </si>
  <si>
    <t>2,10%</t>
  </si>
  <si>
    <t>8.980.200.000</t>
  </si>
  <si>
    <t>2,11%</t>
  </si>
  <si>
    <t>30.767.075.000.000</t>
  </si>
  <si>
    <t>2,12%</t>
  </si>
  <si>
    <t>127.895.000.000</t>
  </si>
  <si>
    <t>48.591.000.000</t>
  </si>
  <si>
    <t>2,14%</t>
  </si>
  <si>
    <t>58.000.000</t>
  </si>
  <si>
    <t>2,16%</t>
  </si>
  <si>
    <t>176.000.000</t>
  </si>
  <si>
    <t>2,21%</t>
  </si>
  <si>
    <t>2.279.918.000.000</t>
  </si>
  <si>
    <t>2,29%</t>
  </si>
  <si>
    <t>355.346.000.000</t>
  </si>
  <si>
    <t>15.592.000.000</t>
  </si>
  <si>
    <t>2,37%</t>
  </si>
  <si>
    <t>106.127.000.000</t>
  </si>
  <si>
    <t>2,40%</t>
  </si>
  <si>
    <t>577.010.000.000</t>
  </si>
  <si>
    <t>2,41%</t>
  </si>
  <si>
    <t>20.342.000.000</t>
  </si>
  <si>
    <t>2,42%</t>
  </si>
  <si>
    <t>14.826.000.000</t>
  </si>
  <si>
    <t>2,44%</t>
  </si>
  <si>
    <t>415.735.284</t>
  </si>
  <si>
    <t>2,47%</t>
  </si>
  <si>
    <t>3.907.323.961</t>
  </si>
  <si>
    <t>2,49%</t>
  </si>
  <si>
    <t>57.589.000.000</t>
  </si>
  <si>
    <t>21.624.000.000</t>
  </si>
  <si>
    <t>2,51%</t>
  </si>
  <si>
    <t>308.000.000</t>
  </si>
  <si>
    <t>2,53%</t>
  </si>
  <si>
    <t>389.020.000.000</t>
  </si>
  <si>
    <t>2,55%</t>
  </si>
  <si>
    <t>457.410.000.000</t>
  </si>
  <si>
    <t>2,64%</t>
  </si>
  <si>
    <t>1.704.000.000</t>
  </si>
  <si>
    <t>2,68%</t>
  </si>
  <si>
    <t>61.692.000.000</t>
  </si>
  <si>
    <t>9.228.000.000</t>
  </si>
  <si>
    <t>2,70%</t>
  </si>
  <si>
    <t>32.102.000.000</t>
  </si>
  <si>
    <t>−2,71%</t>
  </si>
  <si>
    <t>8.017.000.000</t>
  </si>
  <si>
    <t>2,74%</t>
  </si>
  <si>
    <t>3.327.000.000</t>
  </si>
  <si>
    <t>2,75%</t>
  </si>
  <si>
    <t>1.505.856.107</t>
  </si>
  <si>
    <t>2,76%</t>
  </si>
  <si>
    <t>1.903.826.000.000</t>
  </si>
  <si>
    <t>2,77%</t>
  </si>
  <si>
    <t>16.508.000.000</t>
  </si>
  <si>
    <t>2,80%</t>
  </si>
  <si>
    <t>221.229.000.000</t>
  </si>
  <si>
    <t>2.275.290.216</t>
  </si>
  <si>
    <t>680.000.000</t>
  </si>
  <si>
    <t>19.556.000.000</t>
  </si>
  <si>
    <t>2,83%</t>
  </si>
  <si>
    <t>94.927.000.000</t>
  </si>
  <si>
    <t>2,86%</t>
  </si>
  <si>
    <t>461.718.000.000</t>
  </si>
  <si>
    <t>2,88%</t>
  </si>
  <si>
    <t>610.778.000.000</t>
  </si>
  <si>
    <t>2,93%</t>
  </si>
  <si>
    <t>13.711.000.000</t>
  </si>
  <si>
    <t>−26,60%</t>
  </si>
  <si>
    <t>19.662.000.000</t>
  </si>
  <si>
    <t>3,00%</t>
  </si>
  <si>
    <t>6.402.221.222</t>
  </si>
  <si>
    <t>12.956.000.000</t>
  </si>
  <si>
    <t>2.273.000.000</t>
  </si>
  <si>
    <t>3,04%</t>
  </si>
  <si>
    <t>1.316.000.000</t>
  </si>
  <si>
    <t>3,05%</t>
  </si>
  <si>
    <t>16.446.632.290</t>
  </si>
  <si>
    <t>3,06%</t>
  </si>
  <si>
    <t>59.282.000.000</t>
  </si>
  <si>
    <t>3,07%</t>
  </si>
  <si>
    <t>407.786.000.000</t>
  </si>
  <si>
    <t>3,09%</t>
  </si>
  <si>
    <t>131.024.000.000</t>
  </si>
  <si>
    <t>3,10%</t>
  </si>
  <si>
    <t>16.126.000.000</t>
  </si>
  <si>
    <t>47.538.000.000</t>
  </si>
  <si>
    <t>3,11%</t>
  </si>
  <si>
    <t>141.728.000.000</t>
  </si>
  <si>
    <t>3,13%</t>
  </si>
  <si>
    <t>106.055.000.000</t>
  </si>
  <si>
    <t>3,15%</t>
  </si>
  <si>
    <t>6.041.000.000</t>
  </si>
  <si>
    <t>3,19%</t>
  </si>
  <si>
    <t>39.718.000.000</t>
  </si>
  <si>
    <t>3,23%</t>
  </si>
  <si>
    <t>1.176.000.000</t>
  </si>
  <si>
    <t>3,39%</t>
  </si>
  <si>
    <t>341.025.000.000</t>
  </si>
  <si>
    <t>3,44%</t>
  </si>
  <si>
    <t>157.835.000.000</t>
  </si>
  <si>
    <t>3,47%</t>
  </si>
  <si>
    <t>457.904.000.000</t>
  </si>
  <si>
    <t>3,49%</t>
  </si>
  <si>
    <t>427.310.000.000</t>
  </si>
  <si>
    <t>19.142.000.000</t>
  </si>
  <si>
    <t>1.735.210.228</t>
  </si>
  <si>
    <t>3,50%</t>
  </si>
  <si>
    <t>1.035.586.000.000</t>
  </si>
  <si>
    <t>3,57%</t>
  </si>
  <si>
    <t>77.398.000.000</t>
  </si>
  <si>
    <t>3,58%</t>
  </si>
  <si>
    <t>1.597.301.000.000</t>
  </si>
  <si>
    <t>3,60%</t>
  </si>
  <si>
    <t>5.166.000.000</t>
  </si>
  <si>
    <t>3,61%</t>
  </si>
  <si>
    <t>37.268.000.000</t>
  </si>
  <si>
    <t>3,70%</t>
  </si>
  <si>
    <t>39.694.000.000</t>
  </si>
  <si>
    <t>30.279.251.000</t>
  </si>
  <si>
    <t>3,71%</t>
  </si>
  <si>
    <t>130.321.000.000</t>
  </si>
  <si>
    <t>3,73%</t>
  </si>
  <si>
    <t>28.880.000.000</t>
  </si>
  <si>
    <t>3,76%</t>
  </si>
  <si>
    <t>41.019.000.000</t>
  </si>
  <si>
    <t>3,77%</t>
  </si>
  <si>
    <t>1.609.000.000</t>
  </si>
  <si>
    <t>3,78%</t>
  </si>
  <si>
    <t>285.724.000.000</t>
  </si>
  <si>
    <t>3,82%</t>
  </si>
  <si>
    <t>4.491.000.000</t>
  </si>
  <si>
    <t>3,90%</t>
  </si>
  <si>
    <t>6.918.000.000</t>
  </si>
  <si>
    <t>27.756.000.000</t>
  </si>
  <si>
    <t>3,96%</t>
  </si>
  <si>
    <t>34.497.000.000</t>
  </si>
  <si>
    <t>4,00%</t>
  </si>
  <si>
    <t>290.491.000.000</t>
  </si>
  <si>
    <t>4,01%</t>
  </si>
  <si>
    <t>121.113.000.000</t>
  </si>
  <si>
    <t>4,12%</t>
  </si>
  <si>
    <t>7.431.257.411</t>
  </si>
  <si>
    <t>−4,17%</t>
  </si>
  <si>
    <t>3.281.419.347</t>
  </si>
  <si>
    <t>4,20%</t>
  </si>
  <si>
    <t>1.288.000.000</t>
  </si>
  <si>
    <t>12.289.000.000</t>
  </si>
  <si>
    <t>4,21%</t>
  </si>
  <si>
    <t>349.000.000</t>
  </si>
  <si>
    <t>4,29%</t>
  </si>
  <si>
    <t>90.463.000.000</t>
  </si>
  <si>
    <t>4,35%</t>
  </si>
  <si>
    <t>7.139.428.558</t>
  </si>
  <si>
    <t>4,36%</t>
  </si>
  <si>
    <t>681.485.000.000</t>
  </si>
  <si>
    <t>4,37%</t>
  </si>
  <si>
    <t>7.710.000.000</t>
  </si>
  <si>
    <t>4,38%</t>
  </si>
  <si>
    <t>364.640.000.000</t>
  </si>
  <si>
    <t>4,39%</t>
  </si>
  <si>
    <t>487.161.000.000</t>
  </si>
  <si>
    <t>4,40%</t>
  </si>
  <si>
    <t>1.420.000.000</t>
  </si>
  <si>
    <t>4,41%</t>
  </si>
  <si>
    <t>1.276.943.000.000</t>
  </si>
  <si>
    <t>4,50%</t>
  </si>
  <si>
    <t>2.064.000.000</t>
  </si>
  <si>
    <t>744.000.000</t>
  </si>
  <si>
    <t>4,54%</t>
  </si>
  <si>
    <t>102.902.000.000</t>
  </si>
  <si>
    <t>4,56%</t>
  </si>
  <si>
    <t>44.810.000.000</t>
  </si>
  <si>
    <t>4,60%</t>
  </si>
  <si>
    <t>52.061.000.000</t>
  </si>
  <si>
    <t>4,67%</t>
  </si>
  <si>
    <t>17.822.000.000</t>
  </si>
  <si>
    <t>4,77%</t>
  </si>
  <si>
    <t>3.192.000.000</t>
  </si>
  <si>
    <t>4,80%</t>
  </si>
  <si>
    <t>136.455.000.000</t>
  </si>
  <si>
    <t>4,88%</t>
  </si>
  <si>
    <t>30.050.000.000</t>
  </si>
  <si>
    <t>4,90%</t>
  </si>
  <si>
    <t>182.587.000.000</t>
  </si>
  <si>
    <t>649.206.156</t>
  </si>
  <si>
    <t>22.237.000.000</t>
  </si>
  <si>
    <t>4,92%</t>
  </si>
  <si>
    <t>19.626.247.000.000</t>
  </si>
  <si>
    <t>4,96%</t>
  </si>
  <si>
    <t>5.733.000.000</t>
  </si>
  <si>
    <t>46,09%</t>
  </si>
  <si>
    <t>27.140.000.000</t>
  </si>
  <si>
    <t>5,00%</t>
  </si>
  <si>
    <t>49.288.000.000</t>
  </si>
  <si>
    <t>5,01%</t>
  </si>
  <si>
    <t>98.964.000.000</t>
  </si>
  <si>
    <t>603.870.000.000</t>
  </si>
  <si>
    <t>5,02%</t>
  </si>
  <si>
    <t>7.665.000.000</t>
  </si>
  <si>
    <t>5,03%</t>
  </si>
  <si>
    <t>9.995.350.547</t>
  </si>
  <si>
    <t>5,04%</t>
  </si>
  <si>
    <t>2.318.000.000</t>
  </si>
  <si>
    <t>5,09%</t>
  </si>
  <si>
    <t>6.910.000.000</t>
  </si>
  <si>
    <t>5,10%</t>
  </si>
  <si>
    <t>1.445.642.000.000</t>
  </si>
  <si>
    <t>5,11%</t>
  </si>
  <si>
    <t>5.216.000.000</t>
  </si>
  <si>
    <t>5,14%</t>
  </si>
  <si>
    <t>472.193.000.000</t>
  </si>
  <si>
    <t>5,17%</t>
  </si>
  <si>
    <t>2.648.000.000</t>
  </si>
  <si>
    <t>5,50%</t>
  </si>
  <si>
    <t>3.081.000.000</t>
  </si>
  <si>
    <t>5,51%</t>
  </si>
  <si>
    <t>4.521.000.000</t>
  </si>
  <si>
    <t>5,61%</t>
  </si>
  <si>
    <t>22.092.000.000</t>
  </si>
  <si>
    <t>1.745.378.000</t>
  </si>
  <si>
    <t>5,64%</t>
  </si>
  <si>
    <t>32.491.000.000</t>
  </si>
  <si>
    <t>92.833.000.000</t>
  </si>
  <si>
    <t>5,75%</t>
  </si>
  <si>
    <t>571.643.000.000</t>
  </si>
  <si>
    <t>5,80%</t>
  </si>
  <si>
    <t>87.344.000.000</t>
  </si>
  <si>
    <t>5,88%</t>
  </si>
  <si>
    <t>11.899.000.000</t>
  </si>
  <si>
    <t>5,89%</t>
  </si>
  <si>
    <t>114.708.000.000</t>
  </si>
  <si>
    <t>5,95%</t>
  </si>
  <si>
    <t>2.584.000.000</t>
  </si>
  <si>
    <t>6,00%</t>
  </si>
  <si>
    <t>49.358.000.000</t>
  </si>
  <si>
    <t>4.378.000.000</t>
  </si>
  <si>
    <t>345.000.000</t>
  </si>
  <si>
    <t>6,32%</t>
  </si>
  <si>
    <t>12.484.000.000</t>
  </si>
  <si>
    <t>−6,36%</t>
  </si>
  <si>
    <t>302.746.000.000</t>
  </si>
  <si>
    <t>6,49%</t>
  </si>
  <si>
    <t>98.885.000.000</t>
  </si>
  <si>
    <t>6,50%</t>
  </si>
  <si>
    <t>27.215.000.000</t>
  </si>
  <si>
    <t>6,69%</t>
  </si>
  <si>
    <t>66.014.000.000</t>
  </si>
  <si>
    <t>6,72%</t>
  </si>
  <si>
    <t>25.370.000.000</t>
  </si>
  <si>
    <t>6,84%</t>
  </si>
  <si>
    <t>21.836.000.000</t>
  </si>
  <si>
    <t>6,90%</t>
  </si>
  <si>
    <t>15.973.000.000</t>
  </si>
  <si>
    <t>6,98%</t>
  </si>
  <si>
    <t>3.474.000.000</t>
  </si>
  <si>
    <t>7,12%</t>
  </si>
  <si>
    <t>29.243.000.000</t>
  </si>
  <si>
    <t>7,16%</t>
  </si>
  <si>
    <t>80.429.630</t>
  </si>
  <si>
    <t>7,29%</t>
  </si>
  <si>
    <t>38.216.000.000</t>
  </si>
  <si>
    <t>7,46%</t>
  </si>
  <si>
    <t>24.382.000.000</t>
  </si>
  <si>
    <t>7,50%</t>
  </si>
  <si>
    <t>53.474.000.000</t>
  </si>
  <si>
    <t>7,54%</t>
  </si>
  <si>
    <t>3.916.312.000.000</t>
  </si>
  <si>
    <t>7,62%</t>
  </si>
  <si>
    <t>147.069.000.000</t>
  </si>
  <si>
    <t>7,70%</t>
  </si>
  <si>
    <t>37.116.000.000</t>
  </si>
  <si>
    <t>7,88%</t>
  </si>
  <si>
    <t>494.046.000.000</t>
  </si>
  <si>
    <t>8,02%</t>
  </si>
  <si>
    <t>17.542.000.000</t>
  </si>
  <si>
    <t>8,40%</t>
  </si>
  <si>
    <t>920.050.000.000</t>
  </si>
  <si>
    <t>8,68%</t>
  </si>
  <si>
    <t>109.109.000.000</t>
  </si>
  <si>
    <t>9,15%</t>
  </si>
  <si>
    <t>País / territorio</t>
  </si>
  <si>
    <t>exportaciones_m_usd</t>
  </si>
  <si>
    <t>importaciones_m_usd</t>
  </si>
  <si>
    <t>export-import</t>
  </si>
  <si>
    <t>Mundo</t>
  </si>
  <si>
    <t>8.828.677</t>
  </si>
  <si>
    <t>8.024.504</t>
  </si>
  <si>
    <t>1.107.359</t>
  </si>
  <si>
    <t>24 de 197</t>
  </si>
  <si>
    <t>Países</t>
  </si>
  <si>
    <t>Fecha</t>
  </si>
  <si>
    <t>Ingresos fiscales (M. $)</t>
  </si>
  <si>
    <t>Ingresos fiscales (Per capita $)</t>
  </si>
  <si>
    <t>633.011,5</t>
  </si>
  <si>
    <t>1.252.268,8</t>
  </si>
  <si>
    <t>1.373.597,5</t>
  </si>
  <si>
    <t>1.017.854,4</t>
  </si>
  <si>
    <t>110.066,6</t>
  </si>
  <si>
    <t>7.481.449,8</t>
  </si>
  <si>
    <t>1.426.020,9</t>
  </si>
  <si>
    <t>3.733.816,7</t>
  </si>
  <si>
    <t>358,1</t>
  </si>
  <si>
    <t>5.661,3</t>
  </si>
  <si>
    <t>179.720,3</t>
  </si>
  <si>
    <t>231.962,2</t>
  </si>
  <si>
    <t>530.370,6</t>
  </si>
  <si>
    <t>16.641,5</t>
  </si>
  <si>
    <t>1.927,3</t>
  </si>
  <si>
    <t>36.477,7</t>
  </si>
  <si>
    <t>282.913,2</t>
  </si>
  <si>
    <t>4.129,8</t>
  </si>
  <si>
    <t>34.519,3</t>
  </si>
  <si>
    <t>10.848,3</t>
  </si>
  <si>
    <t>695.635,0</t>
  </si>
  <si>
    <t>2.788,9</t>
  </si>
  <si>
    <t>370,0</t>
  </si>
  <si>
    <t>2.606,4</t>
  </si>
  <si>
    <t>752,1</t>
  </si>
  <si>
    <t>783.131,7</t>
  </si>
  <si>
    <t>7.040,0</t>
  </si>
  <si>
    <t>1.720,1</t>
  </si>
  <si>
    <t>254.455,5</t>
  </si>
  <si>
    <t>12.073,6</t>
  </si>
  <si>
    <t>67.636,9</t>
  </si>
  <si>
    <t>7.672,3</t>
  </si>
  <si>
    <t>83.147,1</t>
  </si>
  <si>
    <t>23.685,1</t>
  </si>
  <si>
    <t>2.004,6</t>
  </si>
  <si>
    <t>483,7</t>
  </si>
  <si>
    <t>117.904,9</t>
  </si>
  <si>
    <t>191.787,8</t>
  </si>
  <si>
    <t>17.402,8</t>
  </si>
  <si>
    <t>24.471,5</t>
  </si>
  <si>
    <t>15.195,4</t>
  </si>
  <si>
    <t>49.810,7</t>
  </si>
  <si>
    <t>126.101,6</t>
  </si>
  <si>
    <t>1.113,6</t>
  </si>
  <si>
    <t>3.141,5</t>
  </si>
  <si>
    <t>7.510,0</t>
  </si>
  <si>
    <t>12.068,5</t>
  </si>
  <si>
    <t>291,2</t>
  </si>
  <si>
    <t>3.295,0</t>
  </si>
  <si>
    <t>866,9</t>
  </si>
  <si>
    <t>102.412,6</t>
  </si>
  <si>
    <t>14.634,2</t>
  </si>
  <si>
    <t>1.961,4</t>
  </si>
  <si>
    <t>50.856,9</t>
  </si>
  <si>
    <t>7.186,5</t>
  </si>
  <si>
    <t>35.729,3</t>
  </si>
  <si>
    <t>76.513,9</t>
  </si>
  <si>
    <t>165.195,2</t>
  </si>
  <si>
    <t>132.152,3</t>
  </si>
  <si>
    <t>166.756,5</t>
  </si>
  <si>
    <t>12.315,7</t>
  </si>
  <si>
    <t>5.671,2</t>
  </si>
  <si>
    <t>17.948,5</t>
  </si>
  <si>
    <t>3.327,9</t>
  </si>
  <si>
    <t>5.647,2</t>
  </si>
  <si>
    <t>46,5</t>
  </si>
  <si>
    <t>473.666,5</t>
  </si>
  <si>
    <t>50.967,2</t>
  </si>
  <si>
    <t>1.646,6</t>
  </si>
  <si>
    <t>512,2</t>
  </si>
  <si>
    <t>1.791,0</t>
  </si>
  <si>
    <t>8.417,6</t>
  </si>
  <si>
    <t>566,2</t>
  </si>
  <si>
    <t>501,6</t>
  </si>
  <si>
    <t>28.117,0</t>
  </si>
  <si>
    <t>38.672,6</t>
  </si>
  <si>
    <t>15.248,3</t>
  </si>
  <si>
    <t>47.262,9</t>
  </si>
  <si>
    <t>5.735,7</t>
  </si>
  <si>
    <t>2.123,5</t>
  </si>
  <si>
    <t>67,2</t>
  </si>
  <si>
    <t>4.442,3</t>
  </si>
  <si>
    <t>5.068,2</t>
  </si>
  <si>
    <t>1.618,8</t>
  </si>
  <si>
    <t>7.194,0</t>
  </si>
  <si>
    <t>2.957,7</t>
  </si>
  <si>
    <t>1.551,6</t>
  </si>
  <si>
    <t>1.718,3</t>
  </si>
  <si>
    <t>338.679,8</t>
  </si>
  <si>
    <t>52.440,7</t>
  </si>
  <si>
    <t>4.243,0</t>
  </si>
  <si>
    <t>3.119,1</t>
  </si>
  <si>
    <t>1.423,4</t>
  </si>
  <si>
    <t>29.791,2</t>
  </si>
  <si>
    <t>4.900,2</t>
  </si>
  <si>
    <t>468.248,4</t>
  </si>
  <si>
    <t>194.358,7</t>
  </si>
  <si>
    <t>30,8</t>
  </si>
  <si>
    <t>86.813,1</t>
  </si>
  <si>
    <t>9.960,2</t>
  </si>
  <si>
    <t>45.308,8</t>
  </si>
  <si>
    <t>4.896,6</t>
  </si>
  <si>
    <t>78.162,9</t>
  </si>
  <si>
    <t>44.825,1</t>
  </si>
  <si>
    <t>335.165,7</t>
  </si>
  <si>
    <t>6.237,7</t>
  </si>
  <si>
    <t>92.948,7</t>
  </si>
  <si>
    <t>2.281,1</t>
  </si>
  <si>
    <t>314,3</t>
  </si>
  <si>
    <t>671,1</t>
  </si>
  <si>
    <t>250.166,9</t>
  </si>
  <si>
    <t>70.249,4</t>
  </si>
  <si>
    <t>27.946,0</t>
  </si>
  <si>
    <t>50.403,2</t>
  </si>
  <si>
    <t>563,3</t>
  </si>
  <si>
    <t>6.350,2</t>
  </si>
  <si>
    <t>377,4</t>
  </si>
  <si>
    <t>7.761,2</t>
  </si>
  <si>
    <t>849,3</t>
  </si>
  <si>
    <t>1.760,8</t>
  </si>
  <si>
    <t>1.844,3</t>
  </si>
  <si>
    <t>87.762,3</t>
  </si>
  <si>
    <t>199,7</t>
  </si>
  <si>
    <t>16.497,9</t>
  </si>
  <si>
    <t>316.973,1</t>
  </si>
  <si>
    <t>6.919,0</t>
  </si>
  <si>
    <t>68.514,6</t>
  </si>
  <si>
    <t>6.875,1</t>
  </si>
  <si>
    <t>21.172,9</t>
  </si>
  <si>
    <t>1.373.474.766,6</t>
  </si>
  <si>
    <t>44.643.024</t>
  </si>
  <si>
    <t>72.889,2</t>
  </si>
  <si>
    <t>208,7</t>
  </si>
  <si>
    <t>285,3</t>
  </si>
  <si>
    <t>100.948,6</t>
  </si>
  <si>
    <t>4.537,9</t>
  </si>
  <si>
    <t>Deuda total (M.$)</t>
  </si>
  <si>
    <t>Deuda Per Cápita</t>
  </si>
  <si>
    <t>1.918.960</t>
  </si>
  <si>
    <t>38.712 $</t>
  </si>
  <si>
    <t>2.972.835</t>
  </si>
  <si>
    <t>35.570 $</t>
  </si>
  <si>
    <t>3.689.354</t>
  </si>
  <si>
    <t>54.045 $</t>
  </si>
  <si>
    <t>3.576.501</t>
  </si>
  <si>
    <t>52.108 $</t>
  </si>
  <si>
    <t>3.210.019</t>
  </si>
  <si>
    <t>54.459 $</t>
  </si>
  <si>
    <t>27.251 $</t>
  </si>
  <si>
    <t>35.837.858</t>
  </si>
  <si>
    <t>105.374 $</t>
  </si>
  <si>
    <t>10.110.360</t>
  </si>
  <si>
    <t>81.219 $</t>
  </si>
  <si>
    <t>16.559.622</t>
  </si>
  <si>
    <t>11.759 $</t>
  </si>
  <si>
    <t>15.782 $</t>
  </si>
  <si>
    <t>15.616 $</t>
  </si>
  <si>
    <t>34 $</t>
  </si>
  <si>
    <t>14.627 $</t>
  </si>
  <si>
    <t>6.421 $</t>
  </si>
  <si>
    <t>4.215 $</t>
  </si>
  <si>
    <t>1.878 $</t>
  </si>
  <si>
    <t>11.846 $</t>
  </si>
  <si>
    <t>46.025 $</t>
  </si>
  <si>
    <t>33.233 $</t>
  </si>
  <si>
    <t>1.575 $</t>
  </si>
  <si>
    <t>2.567 $</t>
  </si>
  <si>
    <t>26.500 $</t>
  </si>
  <si>
    <t>1.052 $</t>
  </si>
  <si>
    <t>58.537 $</t>
  </si>
  <si>
    <t>575 $</t>
  </si>
  <si>
    <t>4.198 $</t>
  </si>
  <si>
    <t>36.035 $</t>
  </si>
  <si>
    <t>179 $</t>
  </si>
  <si>
    <t>814 $</t>
  </si>
  <si>
    <t>781 $</t>
  </si>
  <si>
    <t>3.743 $</t>
  </si>
  <si>
    <t>1.902.275</t>
  </si>
  <si>
    <t>8.986 $</t>
  </si>
  <si>
    <t>28.748 $</t>
  </si>
  <si>
    <t>4.245 $</t>
  </si>
  <si>
    <t>1.759 $</t>
  </si>
  <si>
    <t>3.328 $</t>
  </si>
  <si>
    <t>5.102 $</t>
  </si>
  <si>
    <t>2.497.217</t>
  </si>
  <si>
    <t>60.521 $</t>
  </si>
  <si>
    <t>182 $</t>
  </si>
  <si>
    <t>322 $</t>
  </si>
  <si>
    <t>2.296 $</t>
  </si>
  <si>
    <t>38.891 $</t>
  </si>
  <si>
    <t>1.656 $</t>
  </si>
  <si>
    <t>6.996 $</t>
  </si>
  <si>
    <t>800 $</t>
  </si>
  <si>
    <t>4.867 $</t>
  </si>
  <si>
    <t>10.701 $</t>
  </si>
  <si>
    <t>5.922 $</t>
  </si>
  <si>
    <t>24.050 $</t>
  </si>
  <si>
    <t>13.787 $</t>
  </si>
  <si>
    <t>1.352 $</t>
  </si>
  <si>
    <t>22.281 $</t>
  </si>
  <si>
    <t>10.145 $</t>
  </si>
  <si>
    <t>6.785 $</t>
  </si>
  <si>
    <t>2.814 $</t>
  </si>
  <si>
    <t>3.727 $</t>
  </si>
  <si>
    <t>7.367 $</t>
  </si>
  <si>
    <t>3.311 $</t>
  </si>
  <si>
    <t>1.153 $</t>
  </si>
  <si>
    <t>481 $</t>
  </si>
  <si>
    <t>43.525 $</t>
  </si>
  <si>
    <t>4.953 $</t>
  </si>
  <si>
    <t>688 $</t>
  </si>
  <si>
    <t>5.698 $</t>
  </si>
  <si>
    <t>8.512 $</t>
  </si>
  <si>
    <t>3.291 $</t>
  </si>
  <si>
    <t>1.885 $</t>
  </si>
  <si>
    <t>681 $</t>
  </si>
  <si>
    <t>821 $</t>
  </si>
  <si>
    <t>2.610 $</t>
  </si>
  <si>
    <t>38.364 $</t>
  </si>
  <si>
    <t>1.644 $</t>
  </si>
  <si>
    <t>835 $</t>
  </si>
  <si>
    <t>5.456 $</t>
  </si>
  <si>
    <t>5.133 $</t>
  </si>
  <si>
    <t>1.638 $</t>
  </si>
  <si>
    <t>13.764 $</t>
  </si>
  <si>
    <t>337 $</t>
  </si>
  <si>
    <t>17.175 $</t>
  </si>
  <si>
    <t>1.992 $</t>
  </si>
  <si>
    <t>43.395 $</t>
  </si>
  <si>
    <t>36.724 $</t>
  </si>
  <si>
    <t>2.955.574</t>
  </si>
  <si>
    <t>2.055 $</t>
  </si>
  <si>
    <t>2.873 $</t>
  </si>
  <si>
    <t>1.636 $</t>
  </si>
  <si>
    <t>50.833 $</t>
  </si>
  <si>
    <t>4.941 $</t>
  </si>
  <si>
    <t>4.252 $</t>
  </si>
  <si>
    <t>1.452 $</t>
  </si>
  <si>
    <t>924 $</t>
  </si>
  <si>
    <t>702 $</t>
  </si>
  <si>
    <t>266 $</t>
  </si>
  <si>
    <t>545 $</t>
  </si>
  <si>
    <t>12.425 $</t>
  </si>
  <si>
    <t>18.052 $</t>
  </si>
  <si>
    <t>1.055 $</t>
  </si>
  <si>
    <t>3.024 $</t>
  </si>
  <si>
    <t>2.085 $</t>
  </si>
  <si>
    <t>12.669 $</t>
  </si>
  <si>
    <t>10.260 $</t>
  </si>
  <si>
    <t>973 $</t>
  </si>
  <si>
    <t>4.529 $</t>
  </si>
  <si>
    <t>487 $</t>
  </si>
  <si>
    <t>584 $</t>
  </si>
  <si>
    <t>11.219 $</t>
  </si>
  <si>
    <t>35.946 $</t>
  </si>
  <si>
    <t>10.955 $</t>
  </si>
  <si>
    <t>2.583 $</t>
  </si>
  <si>
    <t>2.911 $</t>
  </si>
  <si>
    <t>2.964 $</t>
  </si>
  <si>
    <t>8.063 $</t>
  </si>
  <si>
    <t>281 $</t>
  </si>
  <si>
    <t>1.200 $</t>
  </si>
  <si>
    <t>5.018 $</t>
  </si>
  <si>
    <t>462 $</t>
  </si>
  <si>
    <t>595 $</t>
  </si>
  <si>
    <t>2.957 $</t>
  </si>
  <si>
    <t>1.006 $</t>
  </si>
  <si>
    <t>20.073 $</t>
  </si>
  <si>
    <t>9.570 $</t>
  </si>
  <si>
    <t>17.874 $</t>
  </si>
  <si>
    <t>455 $</t>
  </si>
  <si>
    <t>1.082.457</t>
  </si>
  <si>
    <t>8.183 $</t>
  </si>
  <si>
    <t>8.844 $</t>
  </si>
  <si>
    <t>710 $</t>
  </si>
  <si>
    <t>2.845 $</t>
  </si>
  <si>
    <t>347 $</t>
  </si>
  <si>
    <t>435 $</t>
  </si>
  <si>
    <t>1.113 $</t>
  </si>
  <si>
    <t>29.479 $</t>
  </si>
  <si>
    <t>38.399 $</t>
  </si>
  <si>
    <t>700 $</t>
  </si>
  <si>
    <t>2.380 $</t>
  </si>
  <si>
    <t>24.539 $</t>
  </si>
  <si>
    <t>7.124 $</t>
  </si>
  <si>
    <t>11.149 $</t>
  </si>
  <si>
    <t>2.799 $</t>
  </si>
  <si>
    <t>1.495 $</t>
  </si>
  <si>
    <t>2.310 $</t>
  </si>
  <si>
    <t>1.108 $</t>
  </si>
  <si>
    <t>13.848 $</t>
  </si>
  <si>
    <t>1.602 $</t>
  </si>
  <si>
    <t>11.722 $</t>
  </si>
  <si>
    <t>2.890 $</t>
  </si>
  <si>
    <t>30.370 $</t>
  </si>
  <si>
    <t>11.552 $</t>
  </si>
  <si>
    <t>6.032 $</t>
  </si>
  <si>
    <t>3.012 $</t>
  </si>
  <si>
    <t>651 $</t>
  </si>
  <si>
    <t>9.185 $</t>
  </si>
  <si>
    <t>311 $</t>
  </si>
  <si>
    <t>12.423 $</t>
  </si>
  <si>
    <t>1.386 $</t>
  </si>
  <si>
    <t>18.810 $</t>
  </si>
  <si>
    <t>160.490 $</t>
  </si>
  <si>
    <t>22.798 $</t>
  </si>
  <si>
    <t>14.968 $</t>
  </si>
  <si>
    <t>376 $</t>
  </si>
  <si>
    <t>38.250 $</t>
  </si>
  <si>
    <t>2.259 $</t>
  </si>
  <si>
    <t>5.313 $</t>
  </si>
  <si>
    <t>205 $</t>
  </si>
  <si>
    <t>2.208 $</t>
  </si>
  <si>
    <t>4.883 $</t>
  </si>
  <si>
    <t>798 $</t>
  </si>
  <si>
    <t>1.498 $</t>
  </si>
  <si>
    <t>335 $</t>
  </si>
  <si>
    <t>738 $</t>
  </si>
  <si>
    <t>4.557 $</t>
  </si>
  <si>
    <t>352 $</t>
  </si>
  <si>
    <t>193 $</t>
  </si>
  <si>
    <t>428 $</t>
  </si>
  <si>
    <t>3.617 $</t>
  </si>
  <si>
    <t>2.152 $</t>
  </si>
  <si>
    <t>3.811 $</t>
  </si>
  <si>
    <t>12.035 $</t>
  </si>
  <si>
    <t>391 $</t>
  </si>
  <si>
    <t>8.973 $</t>
  </si>
  <si>
    <t>562 $</t>
  </si>
  <si>
    <t>4.534 $</t>
  </si>
  <si>
    <t>621 $</t>
  </si>
  <si>
    <t>15.925 $</t>
  </si>
  <si>
    <t>1.017 $</t>
  </si>
  <si>
    <t>10.628 $</t>
  </si>
  <si>
    <t>985 $</t>
  </si>
  <si>
    <t>1.479 $</t>
  </si>
  <si>
    <t>1.542 $</t>
  </si>
  <si>
    <t>1.415 $</t>
  </si>
  <si>
    <t>344 $</t>
  </si>
  <si>
    <t>4.849 $</t>
  </si>
  <si>
    <t>1.432 $</t>
  </si>
  <si>
    <t>36.788 $</t>
  </si>
  <si>
    <t>Tasa de desempleo (%)</t>
  </si>
  <si>
    <t>Año</t>
  </si>
  <si>
    <t>11,58</t>
  </si>
  <si>
    <t>4,88</t>
  </si>
  <si>
    <t>8,59</t>
  </si>
  <si>
    <t>Bahrein</t>
  </si>
  <si>
    <t>7,95</t>
  </si>
  <si>
    <t>Benin</t>
  </si>
  <si>
    <t>1,45</t>
  </si>
  <si>
    <t>2,50</t>
  </si>
  <si>
    <t>3,57</t>
  </si>
  <si>
    <t>Birmania</t>
  </si>
  <si>
    <t>2,84</t>
  </si>
  <si>
    <t>23,38</t>
  </si>
  <si>
    <t>Brunei</t>
  </si>
  <si>
    <t>0,93</t>
  </si>
  <si>
    <t>5,65</t>
  </si>
  <si>
    <t>11,99</t>
  </si>
  <si>
    <t>0,24</t>
  </si>
  <si>
    <t>3,65</t>
  </si>
  <si>
    <t>Chequia</t>
  </si>
  <si>
    <t>2,59</t>
  </si>
  <si>
    <t>5,96</t>
  </si>
  <si>
    <t>9,57</t>
  </si>
  <si>
    <t>5,80</t>
  </si>
  <si>
    <t>2,76</t>
  </si>
  <si>
    <t>5,87</t>
  </si>
  <si>
    <t>5,84</t>
  </si>
  <si>
    <t>Eswatini</t>
  </si>
  <si>
    <t>37,64</t>
  </si>
  <si>
    <t>3,50</t>
  </si>
  <si>
    <t>20,36</t>
  </si>
  <si>
    <t>8,50</t>
  </si>
  <si>
    <t>3,70</t>
  </si>
  <si>
    <t>Guernsey</t>
  </si>
  <si>
    <t>5,98</t>
  </si>
  <si>
    <t>8,67</t>
  </si>
  <si>
    <t>Guinea-Bissau</t>
  </si>
  <si>
    <t>3,93</t>
  </si>
  <si>
    <t>Iraq</t>
  </si>
  <si>
    <t>15,53</t>
  </si>
  <si>
    <t>3,56</t>
  </si>
  <si>
    <t>1,55</t>
  </si>
  <si>
    <t>Islas Vírgenes</t>
  </si>
  <si>
    <t>2,58</t>
  </si>
  <si>
    <t>Jersey</t>
  </si>
  <si>
    <t>17,94</t>
  </si>
  <si>
    <t>Kazajstán</t>
  </si>
  <si>
    <t>4,85</t>
  </si>
  <si>
    <t>5,68</t>
  </si>
  <si>
    <t>Las Bahamas</t>
  </si>
  <si>
    <t>Lesotho</t>
  </si>
  <si>
    <t>11,57</t>
  </si>
  <si>
    <t>2,94</t>
  </si>
  <si>
    <t>18,74</t>
  </si>
  <si>
    <t>6,96</t>
  </si>
  <si>
    <t>Malawi</t>
  </si>
  <si>
    <t>Mali</t>
  </si>
  <si>
    <t>10,51</t>
  </si>
  <si>
    <t>3,54</t>
  </si>
  <si>
    <t>10,69</t>
  </si>
  <si>
    <t>4,80</t>
  </si>
  <si>
    <t>0,55</t>
  </si>
  <si>
    <t>3,58</t>
  </si>
  <si>
    <t>3,74</t>
  </si>
  <si>
    <t>5,50</t>
  </si>
  <si>
    <t>6,70</t>
  </si>
  <si>
    <t>2,65</t>
  </si>
  <si>
    <t>5,78</t>
  </si>
  <si>
    <t>11,72</t>
  </si>
  <si>
    <t>2,91</t>
  </si>
  <si>
    <t>Qatar</t>
  </si>
  <si>
    <t>0,13</t>
  </si>
  <si>
    <t>República del Congo</t>
  </si>
  <si>
    <t>República Democrática del Congo</t>
  </si>
  <si>
    <t>4,54</t>
  </si>
  <si>
    <t>5,56</t>
  </si>
  <si>
    <t>14,93</t>
  </si>
  <si>
    <t>5,60</t>
  </si>
  <si>
    <t>9,75</t>
  </si>
  <si>
    <t>18,67</t>
  </si>
  <si>
    <t>2,93</t>
  </si>
  <si>
    <t>8,68</t>
  </si>
  <si>
    <t>13,54</t>
  </si>
  <si>
    <t>27,99</t>
  </si>
  <si>
    <t>7,59</t>
  </si>
  <si>
    <t>7,70</t>
  </si>
  <si>
    <t>0,91</t>
  </si>
  <si>
    <t>6,98</t>
  </si>
  <si>
    <t>1,52</t>
  </si>
  <si>
    <t>1,60</t>
  </si>
  <si>
    <t>West Bank</t>
  </si>
  <si>
    <t>32,00</t>
  </si>
  <si>
    <t>5,91</t>
  </si>
  <si>
    <t>8,76</t>
  </si>
  <si>
    <t>total_pib_mm</t>
  </si>
  <si>
    <t>agricultura%</t>
  </si>
  <si>
    <t>industria%</t>
  </si>
  <si>
    <t>servicios%</t>
  </si>
  <si>
    <t>agricultura_usd_mm</t>
  </si>
  <si>
    <t>industria_usd_mm</t>
  </si>
  <si>
    <t>servicios_usd_mm</t>
  </si>
  <si>
    <t>posicion_2011</t>
  </si>
  <si>
    <t>127 800 000</t>
  </si>
  <si>
    <t>8 179 200</t>
  </si>
  <si>
    <t>38 340 000</t>
  </si>
  <si>
    <t>80 514 000</t>
  </si>
  <si>
    <t>-</t>
  </si>
  <si>
    <t>69 450</t>
  </si>
  <si>
    <t>15 974</t>
  </si>
  <si>
    <t>14 654</t>
  </si>
  <si>
    <t>38 823</t>
  </si>
  <si>
    <t>36 010</t>
  </si>
  <si>
    <t>19 481</t>
  </si>
  <si>
    <t>4 199 000</t>
  </si>
  <si>
    <t>29 393</t>
  </si>
  <si>
    <t>1 289 093</t>
  </si>
  <si>
    <t>2 880 514</t>
  </si>
  <si>
    <t>193 600</t>
  </si>
  <si>
    <t>19 747</t>
  </si>
  <si>
    <t>118 870</t>
  </si>
  <si>
    <t>54 982</t>
  </si>
  <si>
    <t>1 775 000</t>
  </si>
  <si>
    <t>46 150</t>
  </si>
  <si>
    <t>784 550</t>
  </si>
  <si>
    <t>944 300</t>
  </si>
  <si>
    <t>630 000</t>
  </si>
  <si>
    <t>83 790</t>
  </si>
  <si>
    <t>247 590</t>
  </si>
  <si>
    <t>298 620</t>
  </si>
  <si>
    <t>922 100</t>
  </si>
  <si>
    <t>99 587</t>
  </si>
  <si>
    <t>259 110</t>
  </si>
  <si>
    <t>563 403</t>
  </si>
  <si>
    <t>28 340</t>
  </si>
  <si>
    <t>15 530</t>
  </si>
  <si>
    <t>1 248 000</t>
  </si>
  <si>
    <t>44 928</t>
  </si>
  <si>
    <t>315 744</t>
  </si>
  <si>
    <t>441 000</t>
  </si>
  <si>
    <t>125 244</t>
  </si>
  <si>
    <t>310 023</t>
  </si>
  <si>
    <t>172 200</t>
  </si>
  <si>
    <t>10 504</t>
  </si>
  <si>
    <t>92 127</t>
  </si>
  <si>
    <t>69 569</t>
  </si>
  <si>
    <t>12 060</t>
  </si>
  <si>
    <t>10 854</t>
  </si>
  <si>
    <t>690 300</t>
  </si>
  <si>
    <t>98 023</t>
  </si>
  <si>
    <t>202 258</t>
  </si>
  <si>
    <t>390 020</t>
  </si>
  <si>
    <t>71 170</t>
  </si>
  <si>
    <t>27 970</t>
  </si>
  <si>
    <t>42 987</t>
  </si>
  <si>
    <t>529 200</t>
  </si>
  <si>
    <t>116 953</t>
  </si>
  <si>
    <t>408 542</t>
  </si>
  <si>
    <t>25 390</t>
  </si>
  <si>
    <t>12 974</t>
  </si>
  <si>
    <t>_</t>
  </si>
  <si>
    <t>179 400</t>
  </si>
  <si>
    <t>14 531</t>
  </si>
  <si>
    <t>73 195</t>
  </si>
  <si>
    <t>91 673</t>
  </si>
  <si>
    <t>329 800</t>
  </si>
  <si>
    <t>79 482</t>
  </si>
  <si>
    <t>117 409</t>
  </si>
  <si>
    <t>132 909</t>
  </si>
  <si>
    <t>83 720</t>
  </si>
  <si>
    <t>11 553</t>
  </si>
  <si>
    <t>31 646</t>
  </si>
  <si>
    <t>40 353</t>
  </si>
  <si>
    <t>44 830</t>
  </si>
  <si>
    <t>12 956</t>
  </si>
  <si>
    <t>28 826</t>
  </si>
  <si>
    <t>39 010</t>
  </si>
  <si>
    <t>10 728</t>
  </si>
  <si>
    <t>27 541</t>
  </si>
  <si>
    <t>3 248 000</t>
  </si>
  <si>
    <t>214 368</t>
  </si>
  <si>
    <t>672 336</t>
  </si>
  <si>
    <t>2 361 296</t>
  </si>
  <si>
    <t>33 870</t>
  </si>
  <si>
    <t>19 170</t>
  </si>
  <si>
    <t>14 327</t>
  </si>
  <si>
    <t>153 500</t>
  </si>
  <si>
    <t>42 980</t>
  </si>
  <si>
    <t>103 459</t>
  </si>
  <si>
    <t>35 850</t>
  </si>
  <si>
    <t>11 114</t>
  </si>
  <si>
    <t>16 097</t>
  </si>
  <si>
    <t>64 210</t>
  </si>
  <si>
    <t>16 245</t>
  </si>
  <si>
    <t>21 061</t>
  </si>
  <si>
    <t>26 904</t>
  </si>
  <si>
    <t>89 540</t>
  </si>
  <si>
    <t>14 953</t>
  </si>
  <si>
    <t>23 728</t>
  </si>
  <si>
    <t>50 859</t>
  </si>
  <si>
    <t>1 774 000</t>
  </si>
  <si>
    <t>28 384</t>
  </si>
  <si>
    <t>500 268</t>
  </si>
  <si>
    <t>1 245 348</t>
  </si>
  <si>
    <t>339 500</t>
  </si>
  <si>
    <t>170 769</t>
  </si>
  <si>
    <t>168 053</t>
  </si>
  <si>
    <t>28 620</t>
  </si>
  <si>
    <t>14 968</t>
  </si>
  <si>
    <t>452 100</t>
  </si>
  <si>
    <t>18 988</t>
  </si>
  <si>
    <t>148 289</t>
  </si>
  <si>
    <t>284 823</t>
  </si>
  <si>
    <t>23 210 000</t>
  </si>
  <si>
    <t>1 833 590</t>
  </si>
  <si>
    <t>9 400 050</t>
  </si>
  <si>
    <t>11 976 360</t>
  </si>
  <si>
    <t>31 780</t>
  </si>
  <si>
    <t>27 172</t>
  </si>
  <si>
    <t>711 600</t>
  </si>
  <si>
    <t>51 235</t>
  </si>
  <si>
    <t>219 173</t>
  </si>
  <si>
    <t>441 904</t>
  </si>
  <si>
    <t>40 000</t>
  </si>
  <si>
    <t>19 040</t>
  </si>
  <si>
    <t>11 960</t>
  </si>
  <si>
    <t>2 035 000</t>
  </si>
  <si>
    <t>44 770</t>
  </si>
  <si>
    <t>799 755</t>
  </si>
  <si>
    <t>1 186 405</t>
  </si>
  <si>
    <t>97 160</t>
  </si>
  <si>
    <t>19 529</t>
  </si>
  <si>
    <t>25 845</t>
  </si>
  <si>
    <t>51 786</t>
  </si>
  <si>
    <t>83 940</t>
  </si>
  <si>
    <t>17 292</t>
  </si>
  <si>
    <t>62 032</t>
  </si>
  <si>
    <t>102 100</t>
  </si>
  <si>
    <t>26 750</t>
  </si>
  <si>
    <t>71 572</t>
  </si>
  <si>
    <t>137 000</t>
  </si>
  <si>
    <t>31 099</t>
  </si>
  <si>
    <t>100 558</t>
  </si>
  <si>
    <t>287 800</t>
  </si>
  <si>
    <t>65 906</t>
  </si>
  <si>
    <t>218 152</t>
  </si>
  <si>
    <t>193 000</t>
  </si>
  <si>
    <t>12 931</t>
  </si>
  <si>
    <t>63 497</t>
  </si>
  <si>
    <t>116 572</t>
  </si>
  <si>
    <t>1 204 000</t>
  </si>
  <si>
    <t>140 868</t>
  </si>
  <si>
    <t>412 972</t>
  </si>
  <si>
    <t>650 160</t>
  </si>
  <si>
    <t>51 170</t>
  </si>
  <si>
    <t>14 174</t>
  </si>
  <si>
    <t>30 856</t>
  </si>
  <si>
    <t>696 000</t>
  </si>
  <si>
    <t>346 608</t>
  </si>
  <si>
    <t>342 432</t>
  </si>
  <si>
    <t>179 700</t>
  </si>
  <si>
    <t>62 895</t>
  </si>
  <si>
    <t>109 976</t>
  </si>
  <si>
    <t>71 230</t>
  </si>
  <si>
    <t>22 936</t>
  </si>
  <si>
    <t>46 941</t>
  </si>
  <si>
    <t>1 778 000</t>
  </si>
  <si>
    <t>46 228</t>
  </si>
  <si>
    <t>412 496</t>
  </si>
  <si>
    <t>1 319 276</t>
  </si>
  <si>
    <t>19 490 000</t>
  </si>
  <si>
    <t>175 410</t>
  </si>
  <si>
    <t>3 722 590</t>
  </si>
  <si>
    <t>15 592 000</t>
  </si>
  <si>
    <t>41 650</t>
  </si>
  <si>
    <t>12 162</t>
  </si>
  <si>
    <t>28 364</t>
  </si>
  <si>
    <t>200 600</t>
  </si>
  <si>
    <t>69 809</t>
  </si>
  <si>
    <t>43 330</t>
  </si>
  <si>
    <t>87 462</t>
  </si>
  <si>
    <t>877 200</t>
  </si>
  <si>
    <t>84 211</t>
  </si>
  <si>
    <t>268 423</t>
  </si>
  <si>
    <t>524 566</t>
  </si>
  <si>
    <t>244 900</t>
  </si>
  <si>
    <t>69 062</t>
  </si>
  <si>
    <t>169 226</t>
  </si>
  <si>
    <t>2 856 000</t>
  </si>
  <si>
    <t>48 552</t>
  </si>
  <si>
    <t>556 920</t>
  </si>
  <si>
    <t>2 250 528</t>
  </si>
  <si>
    <t>36 660</t>
  </si>
  <si>
    <t>16 387</t>
  </si>
  <si>
    <t>18 477</t>
  </si>
  <si>
    <t>39 850</t>
  </si>
  <si>
    <t>27 058</t>
  </si>
  <si>
    <t>134 000</t>
  </si>
  <si>
    <t>24 522</t>
  </si>
  <si>
    <t>32 830</t>
  </si>
  <si>
    <t>76 648</t>
  </si>
  <si>
    <t>299 300</t>
  </si>
  <si>
    <t>12 271</t>
  </si>
  <si>
    <t>50 582</t>
  </si>
  <si>
    <t>236 746</t>
  </si>
  <si>
    <t>138 100</t>
  </si>
  <si>
    <t>18 367</t>
  </si>
  <si>
    <t>32 315</t>
  </si>
  <si>
    <t>87 279</t>
  </si>
  <si>
    <t>13 454</t>
  </si>
  <si>
    <t>31 520</t>
  </si>
  <si>
    <t>17 210</t>
  </si>
  <si>
    <t>13 522</t>
  </si>
  <si>
    <t>19 970</t>
  </si>
  <si>
    <t>11 503</t>
  </si>
  <si>
    <t>46 300</t>
  </si>
  <si>
    <t>13 334</t>
  </si>
  <si>
    <t>26 391</t>
  </si>
  <si>
    <t>455 900</t>
  </si>
  <si>
    <t>34 648</t>
  </si>
  <si>
    <t>420 796</t>
  </si>
  <si>
    <t>289 600</t>
  </si>
  <si>
    <t>11 294</t>
  </si>
  <si>
    <t>90 645</t>
  </si>
  <si>
    <t>187 661</t>
  </si>
  <si>
    <t>9 474 000</t>
  </si>
  <si>
    <t>1 458 996</t>
  </si>
  <si>
    <t>2 179 020</t>
  </si>
  <si>
    <t>5 826 510</t>
  </si>
  <si>
    <t>3 250 000</t>
  </si>
  <si>
    <t>445 250</t>
  </si>
  <si>
    <t>1 332 500</t>
  </si>
  <si>
    <t>1 475 500</t>
  </si>
  <si>
    <t>649 300</t>
  </si>
  <si>
    <t>21 427</t>
  </si>
  <si>
    <t>331 143</t>
  </si>
  <si>
    <t>297 379</t>
  </si>
  <si>
    <t>1 640 000</t>
  </si>
  <si>
    <t>157 440</t>
  </si>
  <si>
    <t>578 920</t>
  </si>
  <si>
    <t>902 000</t>
  </si>
  <si>
    <t>353 300</t>
  </si>
  <si>
    <t>136 374</t>
  </si>
  <si>
    <t>212 687</t>
  </si>
  <si>
    <t>18 180</t>
  </si>
  <si>
    <t>13 562</t>
  </si>
  <si>
    <t>317 100</t>
  </si>
  <si>
    <t>84 032</t>
  </si>
  <si>
    <t>220 385</t>
  </si>
  <si>
    <t>2 317 000</t>
  </si>
  <si>
    <t>48 657</t>
  </si>
  <si>
    <t>553 763</t>
  </si>
  <si>
    <t>1 712 263</t>
  </si>
  <si>
    <t>26 060</t>
  </si>
  <si>
    <t>18 737</t>
  </si>
  <si>
    <t>5 443 000</t>
  </si>
  <si>
    <t>59 873</t>
  </si>
  <si>
    <t>1 638 343</t>
  </si>
  <si>
    <t>3 739 341</t>
  </si>
  <si>
    <t>89 000</t>
  </si>
  <si>
    <t>25 632</t>
  </si>
  <si>
    <t>59 274</t>
  </si>
  <si>
    <t>478 600</t>
  </si>
  <si>
    <t>22 494</t>
  </si>
  <si>
    <t>163 203</t>
  </si>
  <si>
    <t>292 903</t>
  </si>
  <si>
    <t>163 700</t>
  </si>
  <si>
    <t>56 477</t>
  </si>
  <si>
    <t>29 139</t>
  </si>
  <si>
    <t>77 758</t>
  </si>
  <si>
    <t>23 150</t>
  </si>
  <si>
    <t>12 547</t>
  </si>
  <si>
    <t>19 600</t>
  </si>
  <si>
    <t>13 798</t>
  </si>
  <si>
    <t>289 700</t>
  </si>
  <si>
    <t>170 054</t>
  </si>
  <si>
    <t>118 487</t>
  </si>
  <si>
    <t>49 340</t>
  </si>
  <si>
    <t>10 312</t>
  </si>
  <si>
    <t>16 381</t>
  </si>
  <si>
    <t>22 647</t>
  </si>
  <si>
    <t>54 020</t>
  </si>
  <si>
    <t>12 100</t>
  </si>
  <si>
    <t>39 813</t>
  </si>
  <si>
    <t>88 250</t>
  </si>
  <si>
    <t>11 561</t>
  </si>
  <si>
    <t>73 248</t>
  </si>
  <si>
    <t>61 970</t>
  </si>
  <si>
    <t>32 410</t>
  </si>
  <si>
    <t>28 754</t>
  </si>
  <si>
    <t>91 470</t>
  </si>
  <si>
    <t>26 892</t>
  </si>
  <si>
    <t>61 468</t>
  </si>
  <si>
    <t>62 110</t>
  </si>
  <si>
    <t>53 974</t>
  </si>
  <si>
    <t>71 820</t>
  </si>
  <si>
    <t>67 295</t>
  </si>
  <si>
    <t>31 030</t>
  </si>
  <si>
    <t>19 394</t>
  </si>
  <si>
    <t>22 475</t>
  </si>
  <si>
    <t>933 300</t>
  </si>
  <si>
    <t>82 130</t>
  </si>
  <si>
    <t>350 921</t>
  </si>
  <si>
    <t>500 249</t>
  </si>
  <si>
    <t>22 420</t>
  </si>
  <si>
    <t>12 555</t>
  </si>
  <si>
    <t>41 220</t>
  </si>
  <si>
    <t>17 230</t>
  </si>
  <si>
    <t>16 694</t>
  </si>
  <si>
    <t>19 260</t>
  </si>
  <si>
    <t>17 084</t>
  </si>
  <si>
    <t>298 600</t>
  </si>
  <si>
    <t>41 804</t>
  </si>
  <si>
    <t>88 087</t>
  </si>
  <si>
    <t>168 709</t>
  </si>
  <si>
    <t>28 270</t>
  </si>
  <si>
    <t>20 948</t>
  </si>
  <si>
    <t>17 280</t>
  </si>
  <si>
    <t>2 463 000</t>
  </si>
  <si>
    <t>88 668</t>
  </si>
  <si>
    <t>785 697</t>
  </si>
  <si>
    <t>1 588 635</t>
  </si>
  <si>
    <t>23 720</t>
  </si>
  <si>
    <t>14 706</t>
  </si>
  <si>
    <t>39 730</t>
  </si>
  <si>
    <t>15 177</t>
  </si>
  <si>
    <t>19 746</t>
  </si>
  <si>
    <t>11 080</t>
  </si>
  <si>
    <t>37 090</t>
  </si>
  <si>
    <t>21 067</t>
  </si>
  <si>
    <t>26 600</t>
  </si>
  <si>
    <t>17 822</t>
  </si>
  <si>
    <t>79 190</t>
  </si>
  <si>
    <t>21 381</t>
  </si>
  <si>
    <t>10 691</t>
  </si>
  <si>
    <t>47 118</t>
  </si>
  <si>
    <t>36 400</t>
  </si>
  <si>
    <t>21 840</t>
  </si>
  <si>
    <t>21 860</t>
  </si>
  <si>
    <t>1 121 000</t>
  </si>
  <si>
    <t>236 531</t>
  </si>
  <si>
    <t>252 225</t>
  </si>
  <si>
    <t>632 244</t>
  </si>
  <si>
    <t>381 200</t>
  </si>
  <si>
    <t>128 464</t>
  </si>
  <si>
    <t>243 968</t>
  </si>
  <si>
    <t>189 000</t>
  </si>
  <si>
    <t>10 773</t>
  </si>
  <si>
    <t>40 635</t>
  </si>
  <si>
    <t>137 592</t>
  </si>
  <si>
    <t>190 100</t>
  </si>
  <si>
    <t>88 206</t>
  </si>
  <si>
    <t>98 472</t>
  </si>
  <si>
    <t>924 400</t>
  </si>
  <si>
    <t>14 790</t>
  </si>
  <si>
    <t>165 468</t>
  </si>
  <si>
    <t>648 929</t>
  </si>
  <si>
    <t>1 061 000</t>
  </si>
  <si>
    <t>258 884</t>
  </si>
  <si>
    <t>202 651</t>
  </si>
  <si>
    <t>599 465</t>
  </si>
  <si>
    <t>104 100</t>
  </si>
  <si>
    <t>16 344</t>
  </si>
  <si>
    <t>85 362</t>
  </si>
  <si>
    <t>30 190</t>
  </si>
  <si>
    <t>12 952</t>
  </si>
  <si>
    <t>10 567</t>
  </si>
  <si>
    <t>88 910</t>
  </si>
  <si>
    <t>15 915</t>
  </si>
  <si>
    <t>24 628</t>
  </si>
  <si>
    <t>48 456</t>
  </si>
  <si>
    <t>430 300</t>
  </si>
  <si>
    <t>32 703</t>
  </si>
  <si>
    <t>140 708</t>
  </si>
  <si>
    <t>257 750</t>
  </si>
  <si>
    <t>1 126 000</t>
  </si>
  <si>
    <t>27 024</t>
  </si>
  <si>
    <t>452 652</t>
  </si>
  <si>
    <t>646 324</t>
  </si>
  <si>
    <t>314 100</t>
  </si>
  <si>
    <t>69 416</t>
  </si>
  <si>
    <t>237 774</t>
  </si>
  <si>
    <t>130 000</t>
  </si>
  <si>
    <t>65 130</t>
  </si>
  <si>
    <t>63 830</t>
  </si>
  <si>
    <t>2 925 000</t>
  </si>
  <si>
    <t>20 475</t>
  </si>
  <si>
    <t>590 850</t>
  </si>
  <si>
    <t>2 316 600</t>
  </si>
  <si>
    <t>375 900</t>
  </si>
  <si>
    <t>138 707</t>
  </si>
  <si>
    <t>228 547</t>
  </si>
  <si>
    <t>29 390</t>
  </si>
  <si>
    <t>14 989</t>
  </si>
  <si>
    <t>11 668</t>
  </si>
  <si>
    <t>68 600</t>
  </si>
  <si>
    <t>13 514</t>
  </si>
  <si>
    <t>29 910</t>
  </si>
  <si>
    <t>25 176</t>
  </si>
  <si>
    <t>173 000</t>
  </si>
  <si>
    <t>57 090</t>
  </si>
  <si>
    <t>106 222</t>
  </si>
  <si>
    <t>24 680</t>
  </si>
  <si>
    <t>12 710</t>
  </si>
  <si>
    <t>483 400</t>
  </si>
  <si>
    <t>20 303</t>
  </si>
  <si>
    <t>160 489</t>
  </si>
  <si>
    <t>302 608</t>
  </si>
  <si>
    <t>4 016 000</t>
  </si>
  <si>
    <t>188 752</t>
  </si>
  <si>
    <t>1 301 184</t>
  </si>
  <si>
    <t>2 501 968</t>
  </si>
  <si>
    <t>54 800</t>
  </si>
  <si>
    <t>13 316</t>
  </si>
  <si>
    <t>32 222</t>
  </si>
  <si>
    <t>105 700</t>
  </si>
  <si>
    <t>10 359</t>
  </si>
  <si>
    <t>43 443</t>
  </si>
  <si>
    <t>51 899</t>
  </si>
  <si>
    <t>11 550</t>
  </si>
  <si>
    <t>528 100</t>
  </si>
  <si>
    <t>130 969</t>
  </si>
  <si>
    <t>397 131</t>
  </si>
  <si>
    <t>50 280</t>
  </si>
  <si>
    <t>10 056</t>
  </si>
  <si>
    <t>30 570</t>
  </si>
  <si>
    <t>20 440</t>
  </si>
  <si>
    <t>12 305</t>
  </si>
  <si>
    <t>275 800</t>
  </si>
  <si>
    <t>21 512</t>
  </si>
  <si>
    <t>84 119</t>
  </si>
  <si>
    <t>170 169</t>
  </si>
  <si>
    <t>11 600</t>
  </si>
  <si>
    <t>767 200</t>
  </si>
  <si>
    <t>21 482</t>
  </si>
  <si>
    <t>227 858</t>
  </si>
  <si>
    <t>517 860</t>
  </si>
  <si>
    <t>177 400</t>
  </si>
  <si>
    <t>70 250</t>
  </si>
  <si>
    <t>102 537</t>
  </si>
  <si>
    <t>518 000</t>
  </si>
  <si>
    <t>170 940</t>
  </si>
  <si>
    <t>338 772</t>
  </si>
  <si>
    <t>523 100</t>
  </si>
  <si>
    <t>133 914</t>
  </si>
  <si>
    <t>385 525</t>
  </si>
  <si>
    <t>1 236 000</t>
  </si>
  <si>
    <t>101 352</t>
  </si>
  <si>
    <t>447 432</t>
  </si>
  <si>
    <t>687 216</t>
  </si>
  <si>
    <t>1 189 000</t>
  </si>
  <si>
    <t>21 402</t>
  </si>
  <si>
    <t>428 040</t>
  </si>
  <si>
    <t>738 369</t>
  </si>
  <si>
    <t>162 500</t>
  </si>
  <si>
    <t>38 025</t>
  </si>
  <si>
    <t>46 475</t>
  </si>
  <si>
    <t>77 350</t>
  </si>
  <si>
    <t>28 430</t>
  </si>
  <si>
    <t>13 049</t>
  </si>
  <si>
    <t>12 970</t>
  </si>
  <si>
    <t>42 850</t>
  </si>
  <si>
    <t>20 482</t>
  </si>
  <si>
    <t>22 153</t>
  </si>
  <si>
    <t>137 700</t>
  </si>
  <si>
    <t>13 908</t>
  </si>
  <si>
    <t>36 077</t>
  </si>
  <si>
    <t>87 853</t>
  </si>
  <si>
    <t>103 700</t>
  </si>
  <si>
    <t>46 561</t>
  </si>
  <si>
    <t>49 465</t>
  </si>
  <si>
    <t>2 186 000</t>
  </si>
  <si>
    <t>148 648</t>
  </si>
  <si>
    <t>706 078</t>
  </si>
  <si>
    <t>1 326 902</t>
  </si>
  <si>
    <t>369 600</t>
  </si>
  <si>
    <t>45 091</t>
  </si>
  <si>
    <t>105 706</t>
  </si>
  <si>
    <t>221 760</t>
  </si>
  <si>
    <t>89 190</t>
  </si>
  <si>
    <t>25 152</t>
  </si>
  <si>
    <t>18 819</t>
  </si>
  <si>
    <t>45 219</t>
  </si>
  <si>
    <t>20 850 000</t>
  </si>
  <si>
    <t>333 600</t>
  </si>
  <si>
    <t>5 233 350</t>
  </si>
  <si>
    <t>14 782 650</t>
  </si>
  <si>
    <t>78 160</t>
  </si>
  <si>
    <t>18 837</t>
  </si>
  <si>
    <t>54 478</t>
  </si>
  <si>
    <t>223 000</t>
  </si>
  <si>
    <t>39 917</t>
  </si>
  <si>
    <t>75 151</t>
  </si>
  <si>
    <t>108 155</t>
  </si>
  <si>
    <t>381 600</t>
  </si>
  <si>
    <t>17 935</t>
  </si>
  <si>
    <t>154 166</t>
  </si>
  <si>
    <t>209 498</t>
  </si>
  <si>
    <t>648 700</t>
  </si>
  <si>
    <t>99 251</t>
  </si>
  <si>
    <t>216 017</t>
  </si>
  <si>
    <t>332 783</t>
  </si>
  <si>
    <t>73 630</t>
  </si>
  <si>
    <t>14 947</t>
  </si>
  <si>
    <t>49 995</t>
  </si>
  <si>
    <t>68 930</t>
  </si>
  <si>
    <t>24 332</t>
  </si>
  <si>
    <t>39 290</t>
  </si>
  <si>
    <t>34 270</t>
  </si>
  <si>
    <t>22 550</t>
  </si>
  <si>
    <t>Puesto</t>
  </si>
  <si>
    <t>Nota</t>
  </si>
  <si>
    <t>sueldo_anual_usd</t>
  </si>
  <si>
    <t>horas_trabajo_semana</t>
  </si>
  <si>
    <t>PAÍS</t>
  </si>
  <si>
    <t>DIVISA</t>
  </si>
  <si>
    <t>PRECIO</t>
  </si>
  <si>
    <t>Africa Central</t>
  </si>
  <si>
    <t> FRANCO CFA DE ÁFRICA CENTRAL</t>
  </si>
  <si>
    <t>630,61</t>
  </si>
  <si>
    <t>Africa Occidental</t>
  </si>
  <si>
    <t> FRANCO CFA DE ÁFRICA OESTE</t>
  </si>
  <si>
    <t>Antillas Holandesas</t>
  </si>
  <si>
    <t> FLORÍN ANTILLANO NEERLANDÉS</t>
  </si>
  <si>
    <t> RIYAL DE ARABIA SAUDITA</t>
  </si>
  <si>
    <t> DINAR DE ARGELIA</t>
  </si>
  <si>
    <t> PESO ARGENTINO</t>
  </si>
  <si>
    <t> FLORÍN DE ARUBA</t>
  </si>
  <si>
    <t>1,78</t>
  </si>
  <si>
    <t> DÓLAR AUSTRALIANO</t>
  </si>
  <si>
    <t>0,6229</t>
  </si>
  <si>
    <t> DINAR DE BAHREIN</t>
  </si>
  <si>
    <t>0,3772</t>
  </si>
  <si>
    <t> TAKA DE BANGLADESH</t>
  </si>
  <si>
    <t> DÓLAR DE BARBADOS</t>
  </si>
  <si>
    <t> DÓLAR DE BELICE</t>
  </si>
  <si>
    <t>Bhutan</t>
  </si>
  <si>
    <t> NGULTRUM DE BHUTÁN</t>
  </si>
  <si>
    <t> RUBLO BIELORRUSO</t>
  </si>
  <si>
    <t> KYATS DE BIRMANIA</t>
  </si>
  <si>
    <t>2093,7</t>
  </si>
  <si>
    <t> BOLIVIANO</t>
  </si>
  <si>
    <t>6,86</t>
  </si>
  <si>
    <t>Bosnia-Herzegovina</t>
  </si>
  <si>
    <t> MARCO DE BOSNIA-HERZEGOVINA</t>
  </si>
  <si>
    <t>Botswana</t>
  </si>
  <si>
    <t> PULA DE BOTSWANA</t>
  </si>
  <si>
    <t>0,0721</t>
  </si>
  <si>
    <t> REAL</t>
  </si>
  <si>
    <t> DÓLAR DE BRUNEI</t>
  </si>
  <si>
    <t> LEV BÚLGARO</t>
  </si>
  <si>
    <t> FRANCO DE BURUNDI</t>
  </si>
  <si>
    <t> ESCUDO CABOVERDIANO</t>
  </si>
  <si>
    <t>106,01</t>
  </si>
  <si>
    <t> RIEL DE CAMBOYA</t>
  </si>
  <si>
    <t>Canada</t>
  </si>
  <si>
    <t> DÓLAR CANADIENSE</t>
  </si>
  <si>
    <t> PESO CHILENO</t>
  </si>
  <si>
    <t>990,52</t>
  </si>
  <si>
    <t> YUAN CHINO</t>
  </si>
  <si>
    <t>Colectividades Francesas</t>
  </si>
  <si>
    <t> FRANCO CFP</t>
  </si>
  <si>
    <t>114,39</t>
  </si>
  <si>
    <t> PESO COLOMBIANO</t>
  </si>
  <si>
    <t>4357,5</t>
  </si>
  <si>
    <t> FRANCO DE COMORAS</t>
  </si>
  <si>
    <t>473,08</t>
  </si>
  <si>
    <t> WON DE COREA DEL SUR</t>
  </si>
  <si>
    <t>1463,7</t>
  </si>
  <si>
    <t> COLÓN COSTARRICENSE</t>
  </si>
  <si>
    <t>503,63</t>
  </si>
  <si>
    <t> KUNA CROATA</t>
  </si>
  <si>
    <t> CORONA DANESA</t>
  </si>
  <si>
    <t>Djibouti</t>
  </si>
  <si>
    <t> FRANCO DE DJIBOUTI</t>
  </si>
  <si>
    <t>177,6</t>
  </si>
  <si>
    <t> LIBRA EGIPCIA</t>
  </si>
  <si>
    <t>50,85</t>
  </si>
  <si>
    <t> COLÓN DE EL SALVADOR</t>
  </si>
  <si>
    <t>Emiratos Arabes Unidos</t>
  </si>
  <si>
    <t> DIRHAM</t>
  </si>
  <si>
    <t> NAKFA DE ERITREA</t>
  </si>
  <si>
    <t>Este Caribeño</t>
  </si>
  <si>
    <t> DÓLAR DEL ESTE CARIBEÑO</t>
  </si>
  <si>
    <t>2,69</t>
  </si>
  <si>
    <t> BIRR DE ETIOPÍA</t>
  </si>
  <si>
    <t>Eurozona</t>
  </si>
  <si>
    <t> EURO</t>
  </si>
  <si>
    <t>Fiji</t>
  </si>
  <si>
    <t> DÓLAR DE FIJI</t>
  </si>
  <si>
    <t>0,424</t>
  </si>
  <si>
    <t> PESO FILIPINO</t>
  </si>
  <si>
    <t> DALISI DE GAMBIA</t>
  </si>
  <si>
    <t> LARI GEORGIANO</t>
  </si>
  <si>
    <t> CEDI GHANÉS</t>
  </si>
  <si>
    <t>14,65</t>
  </si>
  <si>
    <t>Gibraltar</t>
  </si>
  <si>
    <t> LIBRA DE GIBRALTAR</t>
  </si>
  <si>
    <t> QUETZAL</t>
  </si>
  <si>
    <t>7,69</t>
  </si>
  <si>
    <t> FRANCO DE GUINEA</t>
  </si>
  <si>
    <t> DÓLAR DE GUYANA</t>
  </si>
  <si>
    <t>207,98</t>
  </si>
  <si>
    <t>Haiti</t>
  </si>
  <si>
    <t> GOURDE HAITIANO</t>
  </si>
  <si>
    <t> LEMPIRA DE HONDURAS</t>
  </si>
  <si>
    <t> DÓLAR DE HONG KONG</t>
  </si>
  <si>
    <t> FORINT HÚNGARO</t>
  </si>
  <si>
    <t>394,39</t>
  </si>
  <si>
    <t> RUPIA INDIA</t>
  </si>
  <si>
    <t> RUPIA DE INDONESIA</t>
  </si>
  <si>
    <t>16142,65</t>
  </si>
  <si>
    <t> DINAR DE IRAK</t>
  </si>
  <si>
    <t>Iran</t>
  </si>
  <si>
    <t> RIAL IRANÍ</t>
  </si>
  <si>
    <t> CORONA ISLANDESA</t>
  </si>
  <si>
    <t>139,39</t>
  </si>
  <si>
    <t> DÓLAR DE LAS ISLAS CAIMÁN</t>
  </si>
  <si>
    <t>0,8275</t>
  </si>
  <si>
    <t>Islas Malvinas</t>
  </si>
  <si>
    <t> LIBRA DE LAS ISLAS MALVINAS</t>
  </si>
  <si>
    <t>Islas Salomon</t>
  </si>
  <si>
    <t> DÓLAR DE LAS ISLAS SALOMÓN</t>
  </si>
  <si>
    <t>0,112</t>
  </si>
  <si>
    <t> NUEVO SHEKEL ISRAELÍ</t>
  </si>
  <si>
    <t> DÓLAR JAMAIQUINO</t>
  </si>
  <si>
    <t>154,81</t>
  </si>
  <si>
    <t>Japon</t>
  </si>
  <si>
    <t> YEN JAPONÉS</t>
  </si>
  <si>
    <t>157,63</t>
  </si>
  <si>
    <t> DINAR DE JORDANIA</t>
  </si>
  <si>
    <t>0,708</t>
  </si>
  <si>
    <t>Kazakhstan</t>
  </si>
  <si>
    <t> TENGE DE KAZAJSTÁN</t>
  </si>
  <si>
    <t>518,35</t>
  </si>
  <si>
    <t> CHELÍN KENIANO</t>
  </si>
  <si>
    <t> DINAR DE KUWAIT</t>
  </si>
  <si>
    <t>0,3079</t>
  </si>
  <si>
    <t>Kyrgyzstan</t>
  </si>
  <si>
    <t> SOM KIRGISTANÍ</t>
  </si>
  <si>
    <t> KIP DE LAOS</t>
  </si>
  <si>
    <t>Libano</t>
  </si>
  <si>
    <t> LIBRA LIBANESA</t>
  </si>
  <si>
    <t> DÓLAR LIBERIANO</t>
  </si>
  <si>
    <t> DINAR DE LIBIA</t>
  </si>
  <si>
    <t>Macau</t>
  </si>
  <si>
    <t> PATACA DE MACAU</t>
  </si>
  <si>
    <t>Macedonia</t>
  </si>
  <si>
    <t> DENAR DE MACEDONIA</t>
  </si>
  <si>
    <t>58,93</t>
  </si>
  <si>
    <t> ARIARY MALGACHE</t>
  </si>
  <si>
    <t> RINGGIT DE MALASIA</t>
  </si>
  <si>
    <t> KWACHA DE MALAWI</t>
  </si>
  <si>
    <t>1717,02</t>
  </si>
  <si>
    <t> RUPIA DE MALDIVAS</t>
  </si>
  <si>
    <t>15,42</t>
  </si>
  <si>
    <t> RUPIA DE MAURICIO</t>
  </si>
  <si>
    <t>46,91</t>
  </si>
  <si>
    <t> OUGULYA DE MAURITANIA</t>
  </si>
  <si>
    <t> PESO MEXICANO</t>
  </si>
  <si>
    <t> LEU DE MOLDAVIA</t>
  </si>
  <si>
    <t>18,33</t>
  </si>
  <si>
    <t> TOGROG/TUGRIK MONGOLIA</t>
  </si>
  <si>
    <t> METICAL MOZAMBIQUEÑO</t>
  </si>
  <si>
    <t>63,25</t>
  </si>
  <si>
    <t> DÓLAR DE NAMIBIA</t>
  </si>
  <si>
    <t> RUPIA DE NEPAL</t>
  </si>
  <si>
    <t>136,42</t>
  </si>
  <si>
    <t> CÓRDOBA DE NICARAGUA</t>
  </si>
  <si>
    <t>36,6</t>
  </si>
  <si>
    <t> NAIRA DE NIGERIA</t>
  </si>
  <si>
    <t>1537,57</t>
  </si>
  <si>
    <t> CORONA NORUEGA</t>
  </si>
  <si>
    <t> DÓLAR DE NUEVA ZELANDA</t>
  </si>
  <si>
    <t>0,5635</t>
  </si>
  <si>
    <t>Oman</t>
  </si>
  <si>
    <t> RIAL OMANÍ</t>
  </si>
  <si>
    <t>0,3849</t>
  </si>
  <si>
    <t>Pakistan</t>
  </si>
  <si>
    <t> RUPIA DE PAKISTÁN</t>
  </si>
  <si>
    <t>278,3</t>
  </si>
  <si>
    <t>Papua Nueva Guinea</t>
  </si>
  <si>
    <t> KINA DE PAPUA NUEVA GUINEA</t>
  </si>
  <si>
    <t>0,2427</t>
  </si>
  <si>
    <t> GUARANÍ</t>
  </si>
  <si>
    <t>7794,56</t>
  </si>
  <si>
    <t> NUEVO SOL PERUANO</t>
  </si>
  <si>
    <t> ZLOTY POLACO</t>
  </si>
  <si>
    <t> RIAL DE QATAR</t>
  </si>
  <si>
    <t> LIBRA BRITÁNICA</t>
  </si>
  <si>
    <t>Rep. Democrática del Congo</t>
  </si>
  <si>
    <t> FRANCO CONGOLEÑO</t>
  </si>
  <si>
    <t>República Checa</t>
  </si>
  <si>
    <t> CORONA CHECA</t>
  </si>
  <si>
    <t>Republica Dominicana</t>
  </si>
  <si>
    <t> PESO DOMINICANO</t>
  </si>
  <si>
    <t>60,63</t>
  </si>
  <si>
    <t> FRANCO DE RUANDA</t>
  </si>
  <si>
    <t> LEU RUMANO</t>
  </si>
  <si>
    <t> RUBLO RUSO</t>
  </si>
  <si>
    <t>Samoa Occidental</t>
  </si>
  <si>
    <t> TALA DE SAMOA</t>
  </si>
  <si>
    <t>0,3433</t>
  </si>
  <si>
    <t>Santa Helena</t>
  </si>
  <si>
    <t> LIBRA DE SANTA HELENA</t>
  </si>
  <si>
    <t>Santo Tome</t>
  </si>
  <si>
    <t> DOBRA DE SANTO TOMÉ</t>
  </si>
  <si>
    <t> DINAR DE SERBIA</t>
  </si>
  <si>
    <t>112,38</t>
  </si>
  <si>
    <t> RUPIA DE SEYCHELLES</t>
  </si>
  <si>
    <t> LEONE DE SIERRA LEONA</t>
  </si>
  <si>
    <t> DÓLAR DE SINGAPUR</t>
  </si>
  <si>
    <t> LIBRA SIRIA</t>
  </si>
  <si>
    <t> CHELÍN SOMALÍ</t>
  </si>
  <si>
    <t> RUPIA DE SRI LANKA</t>
  </si>
  <si>
    <t>293,9</t>
  </si>
  <si>
    <t>Sudafrica</t>
  </si>
  <si>
    <t> RAND SUDAFRICANO</t>
  </si>
  <si>
    <t> CORONA SUECA</t>
  </si>
  <si>
    <t> FRANCO SUIZO</t>
  </si>
  <si>
    <t>0,9003</t>
  </si>
  <si>
    <t> DÓLAR SURINAMÉS</t>
  </si>
  <si>
    <t>Swazilandia</t>
  </si>
  <si>
    <t> LILANGENI DE SWAZILANDIA</t>
  </si>
  <si>
    <t> BAHT TAILANDÉS</t>
  </si>
  <si>
    <t>34,22</t>
  </si>
  <si>
    <t>Taiwan</t>
  </si>
  <si>
    <t> DÓLAR DE TAIWÁN</t>
  </si>
  <si>
    <t>32,73</t>
  </si>
  <si>
    <t> CHELÍN TANZANO</t>
  </si>
  <si>
    <t> SOMONI TAYIKO</t>
  </si>
  <si>
    <t>10,9</t>
  </si>
  <si>
    <t> PAANGA DE TONGA</t>
  </si>
  <si>
    <t>0,404</t>
  </si>
  <si>
    <t>Trinidad and Tobago</t>
  </si>
  <si>
    <t> DÓLAR DE TRINIDAD Y TOBAGO</t>
  </si>
  <si>
    <t>Tunez</t>
  </si>
  <si>
    <t> DINAR DE TUNEZ</t>
  </si>
  <si>
    <t> NUEVA LIRA DE TURQUÍA</t>
  </si>
  <si>
    <t> HRYVNIA DE UCRANIA</t>
  </si>
  <si>
    <t> CHELÍN UGANDÉS</t>
  </si>
  <si>
    <t>3657,5</t>
  </si>
  <si>
    <t> PESO URUGUAYO</t>
  </si>
  <si>
    <t>44,03</t>
  </si>
  <si>
    <t>Uzbekistan</t>
  </si>
  <si>
    <t> SOM UZBEKO</t>
  </si>
  <si>
    <t>12855,88</t>
  </si>
  <si>
    <t> VATU DE VANUATU</t>
  </si>
  <si>
    <t> BOLIVAR VENEZOLANO</t>
  </si>
  <si>
    <t> DONG DE VIETNAM</t>
  </si>
  <si>
    <t> RIAL DE YEMEN</t>
  </si>
  <si>
    <t>249,12</t>
  </si>
  <si>
    <t> KWACHA DE ZAMBIA</t>
  </si>
  <si>
    <t>27,8</t>
  </si>
  <si>
    <t>libertadeconomica</t>
  </si>
  <si>
    <t>Kosovo</t>
  </si>
  <si>
    <t>Curaçao</t>
  </si>
  <si>
    <t>Palestina</t>
  </si>
  <si>
    <t>São Tomé y Príncipe</t>
  </si>
  <si>
    <t>Estados Federados de Micronesia</t>
  </si>
  <si>
    <t>Palau</t>
  </si>
  <si>
    <t>Bangladés</t>
  </si>
  <si>
    <t>Rumanía</t>
  </si>
  <si>
    <t>Türkiye</t>
  </si>
  <si>
    <t>Viet Nam</t>
  </si>
  <si>
    <t>Niue</t>
  </si>
  <si>
    <t>PaísesBajos</t>
  </si>
  <si>
    <t>Suazilandia</t>
  </si>
  <si>
    <t>Unión Europea</t>
  </si>
  <si>
    <t>Chipre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</si>
</sst>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3" fontId="0" fillId="0" borderId="0" xfId="0" applyNumberFormat="1"/>
    <xf numFmtId="0" fontId="1" fillId="3" borderId="4" xfId="0" applyFont="1" applyFill="1" applyBorder="1"/>
    <xf numFmtId="0" fontId="0" fillId="2" borderId="2" xfId="0" applyFill="1" applyBorder="1"/>
    <xf numFmtId="0" fontId="0" fillId="0" borderId="2" xfId="0" applyBorder="1"/>
    <xf numFmtId="0" fontId="0" fillId="0" borderId="5" xfId="0" applyBorder="1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20041E-91A3-42F7-9F72-BD7EA030A3D1}" name="Tabla10" displayName="Tabla10" ref="A1:T219" totalsRowShown="0" headerRowDxfId="19">
  <autoFilter ref="A1:T219" xr:uid="{3F20041E-91A3-42F7-9F72-BD7EA030A3D1}"/>
  <sortState xmlns:xlrd2="http://schemas.microsoft.com/office/spreadsheetml/2017/richdata2" ref="A2:T219">
    <sortCondition ref="A1:A219"/>
  </sortState>
  <tableColumns count="20">
    <tableColumn id="1" xr3:uid="{282CBD88-77E6-4360-BFD1-751388967CB0}" name="pais" dataDxfId="20"/>
    <tableColumn id="2" xr3:uid="{2EA89AFC-EBD3-4135-B40F-444665E9521A}" name="PIB">
      <calculatedColumnFormula>VLOOKUP(A2,Tabla1[],2,FALSE)</calculatedColumnFormula>
    </tableColumn>
    <tableColumn id="3" xr3:uid="{6FDA251D-531C-40DA-AABF-B5CCB15A86E6}" name="crecimientopib">
      <calculatedColumnFormula>VLOOKUP(A2,Tabla1[],3,FALSE)</calculatedColumnFormula>
    </tableColumn>
    <tableColumn id="4" xr3:uid="{4B8E2002-CDEA-4F0A-8F9A-3ACE5954807C}" name="ingresos_fiscales_m">
      <calculatedColumnFormula>VLOOKUP(A2,Tabla1[],4,FALSE)</calculatedColumnFormula>
    </tableColumn>
    <tableColumn id="5" xr3:uid="{476E0C6C-733F-419F-B2A1-3CA80B6D59D1}" name="exportaciones_m_usd">
      <calculatedColumnFormula>VLOOKUP(A2,Tabla2[],2,FALSE)</calculatedColumnFormula>
    </tableColumn>
    <tableColumn id="6" xr3:uid="{DF994E47-5B72-45FE-A619-19FC3BFBE54C}" name="importaciones_m_usd" dataDxfId="18">
      <calculatedColumnFormula>VLOOKUP(A2,Tabla2[],3,FALSE)</calculatedColumnFormula>
    </tableColumn>
    <tableColumn id="7" xr3:uid="{AF02E34B-C1C0-4EDC-8C95-D965A493A2F6}" name="Ingresos fiscales (M. $)" dataDxfId="17">
      <calculatedColumnFormula>VLOOKUP(A2,Tabla4[],3,FALSE)</calculatedColumnFormula>
    </tableColumn>
    <tableColumn id="8" xr3:uid="{19B23F5F-E8DE-4B9B-8160-30B815886269}" name="Deuda total (M.$)" dataDxfId="16">
      <calculatedColumnFormula>VLOOKUP(A2,Tabla3[],3,FALSE)</calculatedColumnFormula>
    </tableColumn>
    <tableColumn id="9" xr3:uid="{5C2837DA-C4DD-435C-89D1-731692F89E4C}" name="Tasa de desempleo (%)" dataDxfId="15">
      <calculatedColumnFormula>VLOOKUP(A2,Tabla16[],2,FALSE)</calculatedColumnFormula>
    </tableColumn>
    <tableColumn id="10" xr3:uid="{42B62AB2-5572-4031-831B-56C24B7489D7}" name="agricultura%" dataDxfId="5">
      <calculatedColumnFormula>VLOOKUP(A2,Tabla17[],3,FALSE)</calculatedColumnFormula>
    </tableColumn>
    <tableColumn id="11" xr3:uid="{A568B3DE-4501-4D32-9429-5651A9C6846D}" name="industria%" dataDxfId="4">
      <calculatedColumnFormula>VLOOKUP(A2,Tabla17[],4,FALSE)</calculatedColumnFormula>
    </tableColumn>
    <tableColumn id="12" xr3:uid="{EF49DFCE-8853-4865-8A95-2963F0FA64EB}" name="servicios%" dataDxfId="3">
      <calculatedColumnFormula>VLOOKUP(A2,Tabla17[],5,FALSE)</calculatedColumnFormula>
    </tableColumn>
    <tableColumn id="13" xr3:uid="{0705587E-C28D-4710-B548-AD25253C9F9D}" name="agricultura_usd_mm" dataDxfId="2">
      <calculatedColumnFormula>VLOOKUP(A2,Tabla17[],6,FALSE)</calculatedColumnFormula>
    </tableColumn>
    <tableColumn id="14" xr3:uid="{2B29CBBA-5593-4504-A20F-F3B832683C1F}" name="industria_usd_mm" dataDxfId="1">
      <calculatedColumnFormula>VLOOKUP(A2,Tabla17[],7,FALSE)</calculatedColumnFormula>
    </tableColumn>
    <tableColumn id="15" xr3:uid="{83F40C57-A3C0-4867-8F27-44B5EFC0166D}" name="servicios_usd_mm" dataDxfId="0">
      <calculatedColumnFormula>VLOOKUP(A2,Tabla17[],8,FALSE)</calculatedColumnFormula>
    </tableColumn>
    <tableColumn id="16" xr3:uid="{5D481213-0756-44C9-9085-02A9D64FFC36}" name="DIVISA" dataDxfId="7">
      <calculatedColumnFormula>VLOOKUP(A2,Tabla110[],2,FALSE)</calculatedColumnFormula>
    </tableColumn>
    <tableColumn id="17" xr3:uid="{10E90F36-2BD8-4BD2-BFF5-8C06372E9003}" name="PRECIO" dataDxfId="8">
      <calculatedColumnFormula>VLOOKUP(A2,Tabla110[],3,FALSE)</calculatedColumnFormula>
    </tableColumn>
    <tableColumn id="18" xr3:uid="{D37C4B80-3763-44C7-80AB-F3265A0519AB}" name="sueldo_anual_usd" dataDxfId="9">
      <calculatedColumnFormula>VLOOKUP(A2,Tabla29[],2,FALSE)</calculatedColumnFormula>
    </tableColumn>
    <tableColumn id="19" xr3:uid="{B4A0B7CC-3D32-490A-8D39-77C329C0C4E5}" name="horas_trabajo_semana" dataDxfId="10">
      <calculatedColumnFormula>VLOOKUP(A2,Tabla29[],3,FALSE)</calculatedColumnFormula>
    </tableColumn>
    <tableColumn id="20" xr3:uid="{3A2DDB0C-AD67-4A24-9A3C-B9CEF1CF7F6D}" name="libertadeconomica" dataDxfId="11">
      <calculatedColumnFormula>VLOOKUP(A2,Tabla18[],3,FALSE)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3DF47A-5589-4F57-A4DF-BDDF3D5166FD}" name="Tabla17" displayName="Tabla17" ref="A1:I209" totalsRowShown="0">
  <autoFilter ref="A1:I209" xr:uid="{233DF47A-5589-4F57-A4DF-BDDF3D5166FD}"/>
  <sortState xmlns:xlrd2="http://schemas.microsoft.com/office/spreadsheetml/2017/richdata2" ref="A2:I209">
    <sortCondition ref="A1:A209"/>
  </sortState>
  <tableColumns count="9">
    <tableColumn id="2" xr3:uid="{5FFE3666-85C5-44B6-B9F6-142B0BF3CFA4}" name="pais" dataDxfId="6"/>
    <tableColumn id="3" xr3:uid="{028F2581-9BB0-44C4-A9C8-5F6463592BA1}" name="total_pib_mm"/>
    <tableColumn id="4" xr3:uid="{E22D5E04-3E18-42F8-8F65-2F62E9E1DBA5}" name="agricultura%" dataDxfId="14"/>
    <tableColumn id="5" xr3:uid="{05BCFA0E-12E7-4B58-A9CD-49BE48844FD8}" name="industria%" dataDxfId="13"/>
    <tableColumn id="6" xr3:uid="{A81C6D23-16A3-4792-A103-8ADFAE580F36}" name="servicios%" dataDxfId="12"/>
    <tableColumn id="7" xr3:uid="{589F94CF-89C1-4036-9D00-6BE66F3ABD14}" name="agricultura_usd_mm"/>
    <tableColumn id="8" xr3:uid="{E4D10EF3-EEEE-406A-9470-3E8591EC0A9C}" name="industria_usd_mm"/>
    <tableColumn id="9" xr3:uid="{DC5A8C12-23B6-434A-81B5-372942DEE872}" name="servicios_usd_mm"/>
    <tableColumn id="10" xr3:uid="{71EDF755-4CDD-4BC0-B0B5-D38C30E82DC2}" name="posicion_20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D486C1-E427-477A-8A2D-8895252A0FBE}" name="Tabla110" displayName="Tabla110" ref="A1:C140" totalsRowShown="0">
  <autoFilter ref="A1:C140" xr:uid="{58D486C1-E427-477A-8A2D-8895252A0FBE}"/>
  <sortState xmlns:xlrd2="http://schemas.microsoft.com/office/spreadsheetml/2017/richdata2" ref="A2:C140">
    <sortCondition ref="A1:A140"/>
  </sortState>
  <tableColumns count="3">
    <tableColumn id="3" xr3:uid="{70B6261F-16E8-4359-9628-D580724B8879}" name="PAÍS"/>
    <tableColumn id="1" xr3:uid="{E7435AAA-DD6B-456E-9E8E-977BCBBC620B}" name="DIVISA"/>
    <tableColumn id="4" xr3:uid="{DF9B1BC1-3D09-479A-AB77-8A1ED51E4680}" name="PREC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BF7A16-85BD-46DE-9373-FA1C86CA6834}" name="Tabla29" displayName="Tabla29" ref="A1:C197" totalsRowShown="0" headerRowDxfId="28" dataDxfId="27" headerRowBorderDxfId="25" tableBorderDxfId="26" totalsRowBorderDxfId="24">
  <autoFilter ref="A1:C197" xr:uid="{18BF7A16-85BD-46DE-9373-FA1C86CA6834}"/>
  <tableColumns count="3">
    <tableColumn id="1" xr3:uid="{F1087BFF-B8D4-43CF-ADC3-548993747270}" name="pais" dataDxfId="23"/>
    <tableColumn id="2" xr3:uid="{5FC7F953-E867-47EB-B757-705D65C4A139}" name="sueldo_anual_usd" dataDxfId="22"/>
    <tableColumn id="3" xr3:uid="{AA8F1DBA-1134-4EB7-86FF-099F9E7E2492}" name="horas_trabajo_semana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021650-E37B-4D9F-A52D-70C64150158E}" name="Tabla18" displayName="Tabla18" ref="A1:C177" totalsRowShown="0">
  <autoFilter ref="A1:C177" xr:uid="{B6021650-E37B-4D9F-A52D-70C64150158E}"/>
  <sortState xmlns:xlrd2="http://schemas.microsoft.com/office/spreadsheetml/2017/richdata2" ref="A2:C177">
    <sortCondition ref="A1:A177"/>
  </sortState>
  <tableColumns count="3">
    <tableColumn id="1" xr3:uid="{9BB97510-B6DD-418D-AF86-AC545450AAD2}" name="pais"/>
    <tableColumn id="2" xr3:uid="{4F864442-2C2B-413F-A8AF-4588568EAE57}" name="Puesto"/>
    <tableColumn id="3" xr3:uid="{554FCC98-F331-4A82-BABD-BE872BE54788}" name="N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A4C80-CE0D-464C-8092-59D1A836571B}" name="Tabla1" displayName="Tabla1" ref="A1:D219" totalsRowShown="0">
  <autoFilter ref="A1:D219" xr:uid="{F5BA4C80-CE0D-464C-8092-59D1A836571B}"/>
  <sortState xmlns:xlrd2="http://schemas.microsoft.com/office/spreadsheetml/2017/richdata2" ref="A2:D219">
    <sortCondition ref="A1:A219"/>
  </sortState>
  <tableColumns count="4">
    <tableColumn id="1" xr3:uid="{34120AFB-954F-48A1-8A88-ECF23B40D07A}" name="pais"/>
    <tableColumn id="3" xr3:uid="{C2BE6D98-E6C3-4587-B7B2-C56C24438875}" name="PIB (Valor total)"/>
    <tableColumn id="4" xr3:uid="{732B61A6-755D-495F-8C45-2159117757E8}" name="Crecimiento del PIB"/>
    <tableColumn id="5" xr3:uid="{47C91CF7-A5A1-439F-8811-DC6C01F089A0}" name="PIB per cápi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CB1E1-E58A-44FE-82CE-145A1DF39179}" name="Tabla2" displayName="Tabla2" ref="A1:D201" totalsRowShown="0">
  <autoFilter ref="A1:D201" xr:uid="{90DCB1E1-E58A-44FE-82CE-145A1DF39179}"/>
  <sortState xmlns:xlrd2="http://schemas.microsoft.com/office/spreadsheetml/2017/richdata2" ref="A2:D201">
    <sortCondition ref="A1:A201"/>
  </sortState>
  <tableColumns count="4">
    <tableColumn id="1" xr3:uid="{C6AF062B-636A-45D1-AA05-9752686FA9F3}" name="País / territorio"/>
    <tableColumn id="2" xr3:uid="{DAA94670-DBAC-4E4F-ADCD-9007C55A671B}" name="exportaciones_m_usd"/>
    <tableColumn id="3" xr3:uid="{23706D8B-3BCE-49F7-8CA4-15CAA9A73E6B}" name="importaciones_m_usd"/>
    <tableColumn id="4" xr3:uid="{9BA3E283-CD61-4C7E-ABA6-A222F3CD9BC2}" name="export-im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889476-6AB3-438E-9DDF-7369BC10E1C5}" name="Tabla4" displayName="Tabla4" ref="A1:D140" totalsRowShown="0">
  <autoFilter ref="A1:D140" xr:uid="{B4889476-6AB3-438E-9DDF-7369BC10E1C5}"/>
  <sortState xmlns:xlrd2="http://schemas.microsoft.com/office/spreadsheetml/2017/richdata2" ref="A2:D140">
    <sortCondition ref="A1:A140"/>
  </sortState>
  <tableColumns count="4">
    <tableColumn id="1" xr3:uid="{5ECFF61B-AA15-4D32-A1A2-E065BE930C9F}" name="Países"/>
    <tableColumn id="2" xr3:uid="{9CC1F730-50E3-4C1B-AA2E-C5B7D97C232E}" name="Fecha"/>
    <tableColumn id="3" xr3:uid="{64AB9560-6EA2-4C17-965F-0C861FEF6B4C}" name="Ingresos fiscales (M. $)"/>
    <tableColumn id="4" xr3:uid="{D4893B95-6BC7-4D64-9894-53543B620E73}" name="Ingresos fiscales (Per capita $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EDD79-337C-49B4-967F-55043AA0065F}" name="Tabla3" displayName="Tabla3" ref="A1:D193" totalsRowShown="0">
  <autoFilter ref="A1:D193" xr:uid="{5EAEDD79-337C-49B4-967F-55043AA0065F}"/>
  <sortState xmlns:xlrd2="http://schemas.microsoft.com/office/spreadsheetml/2017/richdata2" ref="A2:D193">
    <sortCondition ref="A1:A193"/>
  </sortState>
  <tableColumns count="4">
    <tableColumn id="1" xr3:uid="{C5AEA435-D595-4FEA-8AF6-3BDCAE04A094}" name="Países"/>
    <tableColumn id="2" xr3:uid="{F6B9E529-6FAE-4D3D-8E92-4F419565FC4C}" name="Fecha"/>
    <tableColumn id="3" xr3:uid="{E642AA66-6C77-4D31-869A-D4B87EC2ED3A}" name="Deuda total (M.$)"/>
    <tableColumn id="5" xr3:uid="{C4B93139-31B8-4123-86DB-57961B487EDC}" name="Deuda Per Cápi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ED3E44-89B5-47C5-B5BC-752F6E778DE5}" name="Tabla16" displayName="Tabla16" ref="A1:C193" totalsRowShown="0">
  <autoFilter ref="A1:C193" xr:uid="{99ED3E44-89B5-47C5-B5BC-752F6E778DE5}"/>
  <sortState xmlns:xlrd2="http://schemas.microsoft.com/office/spreadsheetml/2017/richdata2" ref="A2:C193">
    <sortCondition ref="A1:A193"/>
  </sortState>
  <tableColumns count="3">
    <tableColumn id="1" xr3:uid="{B302AB8C-4E56-4CA6-940B-D9B1601CCE7A}" name="pais"/>
    <tableColumn id="2" xr3:uid="{C533B03E-ADD2-4518-B102-E836B3A87D6F}" name="Tasa de desempleo (%)"/>
    <tableColumn id="3" xr3:uid="{83AF0EE1-0F1A-4135-A96A-C42C9E589161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9.140625" defaultRowHeight="15" x14ac:dyDescent="0.25"/>
  <cols>
    <col min="1" max="1" width="26.42578125" bestFit="1" customWidth="1"/>
    <col min="2" max="2" width="17.85546875" bestFit="1" customWidth="1"/>
    <col min="3" max="3" width="16.5703125" customWidth="1"/>
    <col min="4" max="4" width="20.85546875" customWidth="1"/>
    <col min="5" max="5" width="22.5703125" customWidth="1"/>
    <col min="6" max="6" width="22.7109375" customWidth="1"/>
    <col min="7" max="7" width="23.28515625" customWidth="1"/>
    <col min="8" max="8" width="18.7109375" customWidth="1"/>
    <col min="9" max="9" width="23.5703125" customWidth="1"/>
    <col min="10" max="10" width="14.140625" customWidth="1"/>
    <col min="11" max="11" width="12.5703125" customWidth="1"/>
    <col min="12" max="12" width="12.42578125" customWidth="1"/>
    <col min="13" max="13" width="21.140625" customWidth="1"/>
    <col min="14" max="14" width="19.5703125" customWidth="1"/>
    <col min="15" max="15" width="19.42578125" customWidth="1"/>
    <col min="16" max="16" width="27.140625" bestFit="1" customWidth="1"/>
    <col min="17" max="17" width="9.5703125" customWidth="1"/>
    <col min="18" max="18" width="19.140625" customWidth="1"/>
    <col min="19" max="19" width="23.140625" customWidth="1"/>
    <col min="20" max="20" width="19.7109375" customWidth="1"/>
  </cols>
  <sheetData>
    <row r="1" spans="1:20" x14ac:dyDescent="0.25">
      <c r="A1" t="s">
        <v>0</v>
      </c>
      <c r="B1" t="s">
        <v>219</v>
      </c>
      <c r="C1" t="s">
        <v>220</v>
      </c>
      <c r="D1" t="s">
        <v>221</v>
      </c>
      <c r="E1" s="3" t="s">
        <v>634</v>
      </c>
      <c r="F1" s="3" t="s">
        <v>635</v>
      </c>
      <c r="G1" s="3" t="s">
        <v>644</v>
      </c>
      <c r="H1" s="3" t="s">
        <v>782</v>
      </c>
      <c r="I1" s="3" t="s">
        <v>988</v>
      </c>
      <c r="J1" s="3" t="s">
        <v>1084</v>
      </c>
      <c r="K1" s="3" t="s">
        <v>1085</v>
      </c>
      <c r="L1" s="3" t="s">
        <v>1086</v>
      </c>
      <c r="M1" s="3" t="s">
        <v>1087</v>
      </c>
      <c r="N1" s="3" t="s">
        <v>1088</v>
      </c>
      <c r="O1" s="3" t="s">
        <v>1089</v>
      </c>
      <c r="P1" s="3" t="s">
        <v>1603</v>
      </c>
      <c r="Q1" s="4" t="s">
        <v>1604</v>
      </c>
      <c r="R1" s="3" t="s">
        <v>1600</v>
      </c>
      <c r="S1" s="4" t="s">
        <v>1601</v>
      </c>
      <c r="T1" s="4" t="s">
        <v>1842</v>
      </c>
    </row>
    <row r="2" spans="1:20" x14ac:dyDescent="0.25">
      <c r="A2" s="1" t="s">
        <v>105</v>
      </c>
      <c r="B2" t="str">
        <f>VLOOKUP(A2,Tabla1[],2,FALSE)</f>
        <v>19.662.000.000</v>
      </c>
      <c r="C2" t="str">
        <f>VLOOKUP(A2,Tabla1[],3,FALSE)</f>
        <v>3,00%</v>
      </c>
      <c r="D2">
        <f>VLOOKUP(A2,Tabla1[],4,FALSE)</f>
        <v>448</v>
      </c>
      <c r="E2">
        <f>VLOOKUP(A2,Tabla2[],2,FALSE)</f>
        <v>700</v>
      </c>
      <c r="F2">
        <f>VLOOKUP(A2,Tabla2[],3,FALSE)</f>
        <v>1.105</v>
      </c>
      <c r="G2" t="e">
        <f>VLOOKUP(A2,Tabla4[],3,FALSE)</f>
        <v>#N/A</v>
      </c>
      <c r="H2">
        <f>VLOOKUP(A2,Tabla3[],3,FALSE)</f>
        <v>1.4239999999999999</v>
      </c>
      <c r="I2">
        <f>VLOOKUP(A2,Tabla16[],2,FALSE)</f>
        <v>14.39</v>
      </c>
      <c r="J2">
        <f>VLOOKUP(A2,Tabla17[],3,FALSE)</f>
        <v>0.23</v>
      </c>
      <c r="K2">
        <f>VLOOKUP(A2,Tabla17[],4,FALSE)</f>
        <v>0.21099999999999999</v>
      </c>
      <c r="L2">
        <f>VLOOKUP(A2,Tabla17[],5,FALSE)</f>
        <v>0.55900000000000005</v>
      </c>
      <c r="M2" t="str">
        <f>VLOOKUP(A2,Tabla17[],6,FALSE)</f>
        <v>15 974</v>
      </c>
      <c r="N2" t="str">
        <f>VLOOKUP(A2,Tabla17[],7,FALSE)</f>
        <v>14 654</v>
      </c>
      <c r="O2" t="str">
        <f>VLOOKUP(A2,Tabla17[],8,FALSE)</f>
        <v>38 823</v>
      </c>
      <c r="P2" t="e">
        <f>VLOOKUP(A2,Tabla110[],2,FALSE)</f>
        <v>#N/A</v>
      </c>
      <c r="Q2" t="e">
        <f>VLOOKUP(A2,Tabla110[],3,FALSE)</f>
        <v>#N/A</v>
      </c>
      <c r="R2">
        <f>VLOOKUP(A2,Tabla29[],2,FALSE)</f>
        <v>858</v>
      </c>
      <c r="S2">
        <f>VLOOKUP(A2,Tabla29[],3,FALSE)</f>
        <v>40</v>
      </c>
      <c r="T2" t="e">
        <f>VLOOKUP(A2,Tabla18[],3,FALSE)</f>
        <v>#N/A</v>
      </c>
    </row>
    <row r="3" spans="1:20" x14ac:dyDescent="0.25">
      <c r="A3" s="1" t="s">
        <v>133</v>
      </c>
      <c r="B3" t="str">
        <f>VLOOKUP(A3,Tabla1[],2,FALSE)</f>
        <v>30.279.251.000</v>
      </c>
      <c r="C3" t="str">
        <f>VLOOKUP(A3,Tabla1[],3,FALSE)</f>
        <v>3,71%</v>
      </c>
      <c r="D3">
        <f>VLOOKUP(A3,Tabla1[],4,FALSE)</f>
        <v>11.234999999999999</v>
      </c>
      <c r="E3">
        <f>VLOOKUP(A3,Tabla2[],2,FALSE)</f>
        <v>8.0310000000000006</v>
      </c>
      <c r="F3">
        <f>VLOOKUP(A3,Tabla2[],3,FALSE)</f>
        <v>3.8290000000000002</v>
      </c>
      <c r="G3" t="e">
        <f>VLOOKUP(A3,Tabla4[],3,FALSE)</f>
        <v>#N/A</v>
      </c>
      <c r="H3">
        <f>VLOOKUP(A3,Tabla3[],3,FALSE)</f>
        <v>15.175000000000001</v>
      </c>
      <c r="I3" t="str">
        <f>VLOOKUP(A3,Tabla16[],2,FALSE)</f>
        <v>11,58</v>
      </c>
      <c r="J3">
        <f>VLOOKUP(A3,Tabla17[],3,FALSE)</f>
        <v>0.217</v>
      </c>
      <c r="K3">
        <f>VLOOKUP(A3,Tabla17[],4,FALSE)</f>
        <v>0.24199999999999999</v>
      </c>
      <c r="L3">
        <f>VLOOKUP(A3,Tabla17[],5,FALSE)</f>
        <v>0.54100000000000004</v>
      </c>
      <c r="M3">
        <f>VLOOKUP(A3,Tabla17[],6,FALSE)</f>
        <v>7814</v>
      </c>
      <c r="N3">
        <f>VLOOKUP(A3,Tabla17[],7,FALSE)</f>
        <v>8714</v>
      </c>
      <c r="O3" t="str">
        <f>VLOOKUP(A3,Tabla17[],8,FALSE)</f>
        <v>19 481</v>
      </c>
      <c r="P3" t="e">
        <f>VLOOKUP(A3,Tabla110[],2,FALSE)</f>
        <v>#N/A</v>
      </c>
      <c r="Q3" t="e">
        <f>VLOOKUP(A3,Tabla110[],3,FALSE)</f>
        <v>#N/A</v>
      </c>
      <c r="R3">
        <f>VLOOKUP(A3,Tabla29[],2,FALSE)</f>
        <v>4.6369999999999996</v>
      </c>
      <c r="S3">
        <f>VLOOKUP(A3,Tabla29[],3,FALSE)</f>
        <v>40</v>
      </c>
      <c r="T3">
        <f>VLOOKUP(A3,Tabla18[],3,FALSE)</f>
        <v>68</v>
      </c>
    </row>
    <row r="4" spans="1:20" x14ac:dyDescent="0.25">
      <c r="A4" s="1" t="s">
        <v>5</v>
      </c>
      <c r="B4" t="str">
        <f>VLOOKUP(A4,Tabla1[],2,FALSE)</f>
        <v>5.048.059.000.000</v>
      </c>
      <c r="C4" t="str">
        <f>VLOOKUP(A4,Tabla1[],3,FALSE)</f>
        <v>0,24%</v>
      </c>
      <c r="D4">
        <f>VLOOKUP(A4,Tabla1[],4,FALSE)</f>
        <v>60.439</v>
      </c>
      <c r="E4">
        <f>VLOOKUP(TRIM(A4),Tabla2[],2,FALSE)</f>
        <v>471.58199999999999</v>
      </c>
      <c r="F4">
        <f>VLOOKUP(A4,Tabla2[],3,FALSE)</f>
        <v>551.80100000000004</v>
      </c>
      <c r="G4">
        <f>VLOOKUP(A4,Tabla4[],3,FALSE)</f>
        <v>1781531.4</v>
      </c>
      <c r="H4" t="str">
        <f>VLOOKUP(A4,Tabla3[],3,FALSE)</f>
        <v>2.972.835</v>
      </c>
      <c r="I4">
        <f>VLOOKUP(A4,Tabla16[],2,FALSE)</f>
        <v>3.05</v>
      </c>
      <c r="J4">
        <f>VLOOKUP(A4,Tabla17[],3,FALSE)</f>
        <v>7.0000000000000001E-3</v>
      </c>
      <c r="K4">
        <f>VLOOKUP(A4,Tabla17[],4,FALSE)</f>
        <v>0.307</v>
      </c>
      <c r="L4">
        <f>VLOOKUP(A4,Tabla17[],5,FALSE)</f>
        <v>0.68600000000000005</v>
      </c>
      <c r="M4" t="str">
        <f>VLOOKUP(A4,Tabla17[],6,FALSE)</f>
        <v>29 393</v>
      </c>
      <c r="N4" t="str">
        <f>VLOOKUP(A4,Tabla17[],7,FALSE)</f>
        <v>1 289 093</v>
      </c>
      <c r="O4" t="str">
        <f>VLOOKUP(A4,Tabla17[],8,FALSE)</f>
        <v>2 880 514</v>
      </c>
      <c r="P4" t="e">
        <f>VLOOKUP(A4,Tabla110[],2,FALSE)</f>
        <v>#N/A</v>
      </c>
      <c r="Q4" t="e">
        <f>VLOOKUP(A4,Tabla110[],3,FALSE)</f>
        <v>#N/A</v>
      </c>
      <c r="R4">
        <f>VLOOKUP(A4,Tabla29[],2,FALSE)</f>
        <v>41.033000000000001</v>
      </c>
      <c r="S4">
        <f>VLOOKUP(A4,Tabla29[],3,FALSE)</f>
        <v>48</v>
      </c>
      <c r="T4">
        <f>VLOOKUP(A4,Tabla18[],3,FALSE)</f>
        <v>71.7</v>
      </c>
    </row>
    <row r="5" spans="1:20" x14ac:dyDescent="0.25">
      <c r="A5" s="1" t="s">
        <v>139</v>
      </c>
      <c r="B5" t="str">
        <f>VLOOKUP(A5,Tabla1[],2,FALSE)</f>
        <v>4.491.000.000</v>
      </c>
      <c r="C5" t="str">
        <f>VLOOKUP(A5,Tabla1[],3,FALSE)</f>
        <v>3,90%</v>
      </c>
      <c r="D5">
        <f>VLOOKUP(A5,Tabla1[],4,FALSE)</f>
        <v>50.378999999999998</v>
      </c>
      <c r="E5">
        <f>VLOOKUP(A5,Tabla2[],2,FALSE)</f>
        <v>2.9329999999999998</v>
      </c>
      <c r="F5">
        <f>VLOOKUP(A5,Tabla2[],3,FALSE)</f>
        <v>834</v>
      </c>
      <c r="G5">
        <f>VLOOKUP(A5,Tabla4[],3,FALSE)</f>
        <v>0</v>
      </c>
      <c r="H5">
        <f>VLOOKUP(A5,Tabla3[],3,FALSE)</f>
        <v>1.343</v>
      </c>
      <c r="I5" t="e">
        <f>VLOOKUP(A5,Tabla16[],2,FALSE)</f>
        <v>#N/A</v>
      </c>
      <c r="J5">
        <f>VLOOKUP(A5,Tabla17[],3,FALSE)</f>
        <v>0.11899999999999999</v>
      </c>
      <c r="K5">
        <f>VLOOKUP(A5,Tabla17[],4,FALSE)</f>
        <v>0.33600000000000002</v>
      </c>
      <c r="L5">
        <f>VLOOKUP(A5,Tabla17[],5,FALSE)</f>
        <v>0.54500000000000004</v>
      </c>
      <c r="M5">
        <f>VLOOKUP(A5,Tabla17[],6,FALSE)</f>
        <v>396</v>
      </c>
      <c r="N5">
        <f>VLOOKUP(A5,Tabla17[],7,FALSE)</f>
        <v>1118</v>
      </c>
      <c r="O5">
        <f>VLOOKUP(A5,Tabla17[],8,FALSE)</f>
        <v>1813</v>
      </c>
      <c r="P5" t="e">
        <f>VLOOKUP(A5,Tabla110[],2,FALSE)</f>
        <v>#N/A</v>
      </c>
      <c r="Q5" t="e">
        <f>VLOOKUP(A5,Tabla110[],3,FALSE)</f>
        <v>#N/A</v>
      </c>
      <c r="R5">
        <f>VLOOKUP(A5,Tabla29[],2,FALSE)</f>
        <v>18.253</v>
      </c>
      <c r="S5">
        <f>VLOOKUP(A5,Tabla29[],3,FALSE)</f>
        <v>40</v>
      </c>
      <c r="T5" t="e">
        <f>VLOOKUP(A5,Tabla18[],3,FALSE)</f>
        <v>#N/A</v>
      </c>
    </row>
    <row r="6" spans="1:20" x14ac:dyDescent="0.25">
      <c r="A6" s="2" t="s">
        <v>116</v>
      </c>
      <c r="B6" t="str">
        <f>VLOOKUP(A6,Tabla1[],2,FALSE)</f>
        <v>141.728.000.000</v>
      </c>
      <c r="C6" t="str">
        <f>VLOOKUP(A6,Tabla1[],3,FALSE)</f>
        <v>3,13%</v>
      </c>
      <c r="D6">
        <f>VLOOKUP(A6,Tabla1[],4,FALSE)</f>
        <v>3.6139999999999999</v>
      </c>
      <c r="E6">
        <f>VLOOKUP(A6,Tabla2[],2,FALSE)</f>
        <v>76</v>
      </c>
      <c r="F6">
        <f>VLOOKUP(A6,Tabla2[],3,FALSE)</f>
        <v>8.6029999999999998</v>
      </c>
      <c r="G6" t="e">
        <f>VLOOKUP(A6,Tabla4[],3,FALSE)</f>
        <v>#N/A</v>
      </c>
      <c r="H6">
        <f>VLOOKUP(A6,Tabla3[],3,FALSE)</f>
        <v>69.028000000000006</v>
      </c>
      <c r="I6">
        <f>VLOOKUP(A6,Tabla16[],2,FALSE)</f>
        <v>14.62</v>
      </c>
      <c r="J6">
        <f>VLOOKUP(A6,Tabla17[],3,FALSE)</f>
        <v>0.10199999999999999</v>
      </c>
      <c r="K6">
        <f>VLOOKUP(A6,Tabla17[],4,FALSE)</f>
        <v>0.61399999999999999</v>
      </c>
      <c r="L6">
        <f>VLOOKUP(A6,Tabla17[],5,FALSE)</f>
        <v>0.28399999999999997</v>
      </c>
      <c r="M6" t="str">
        <f>VLOOKUP(A6,Tabla17[],6,FALSE)</f>
        <v>19 747</v>
      </c>
      <c r="N6" t="str">
        <f>VLOOKUP(A6,Tabla17[],7,FALSE)</f>
        <v>118 870</v>
      </c>
      <c r="O6" t="str">
        <f>VLOOKUP(A6,Tabla17[],8,FALSE)</f>
        <v>54 982</v>
      </c>
      <c r="P6" t="e">
        <f>VLOOKUP(A6,Tabla110[],2,FALSE)</f>
        <v>#N/A</v>
      </c>
      <c r="Q6" t="e">
        <f>VLOOKUP(A6,Tabla110[],3,FALSE)</f>
        <v>#N/A</v>
      </c>
      <c r="R6">
        <f>VLOOKUP(A6,Tabla29[],2,FALSE)</f>
        <v>663</v>
      </c>
      <c r="S6">
        <f>VLOOKUP(A6,Tabla29[],3,FALSE)</f>
        <v>44</v>
      </c>
      <c r="T6">
        <f>VLOOKUP(A6,Tabla18[],3,FALSE)</f>
        <v>54.4</v>
      </c>
    </row>
    <row r="7" spans="1:20" x14ac:dyDescent="0.25">
      <c r="A7" s="1" t="s">
        <v>81</v>
      </c>
      <c r="B7" t="str">
        <f>VLOOKUP(A7,Tabla1[],2,FALSE)</f>
        <v>415.735.284</v>
      </c>
      <c r="C7" t="str">
        <f>VLOOKUP(A7,Tabla1[],3,FALSE)</f>
        <v>2,47%</v>
      </c>
      <c r="D7">
        <f>VLOOKUP(A7,Tabla1[],4,FALSE)</f>
        <v>28.85</v>
      </c>
      <c r="E7" t="e">
        <f>VLOOKUP(A7,Tabla2[],2,FALSE)</f>
        <v>#N/A</v>
      </c>
      <c r="F7" t="e">
        <f>VLOOKUP(A7,Tabla2[],3,FALSE)</f>
        <v>#N/A</v>
      </c>
      <c r="G7" t="e">
        <f>VLOOKUP(A7,Tabla4[],3,FALSE)</f>
        <v>#N/A</v>
      </c>
      <c r="H7" t="e">
        <f>VLOOKUP(A7,Tabla3[],3,FALSE)</f>
        <v>#N/A</v>
      </c>
      <c r="I7" t="e">
        <f>VLOOKUP(A7,Tabla16[],2,FALSE)</f>
        <v>#N/A</v>
      </c>
      <c r="J7" t="e">
        <f>VLOOKUP(A7,Tabla17[],3,FALSE)</f>
        <v>#N/A</v>
      </c>
      <c r="K7" t="e">
        <f>VLOOKUP(A7,Tabla17[],4,FALSE)</f>
        <v>#N/A</v>
      </c>
      <c r="L7" t="e">
        <f>VLOOKUP(A7,Tabla17[],5,FALSE)</f>
        <v>#N/A</v>
      </c>
      <c r="M7" t="e">
        <f>VLOOKUP(A7,Tabla17[],6,FALSE)</f>
        <v>#N/A</v>
      </c>
      <c r="N7" t="e">
        <f>VLOOKUP(A7,Tabla17[],7,FALSE)</f>
        <v>#N/A</v>
      </c>
      <c r="O7" t="e">
        <f>VLOOKUP(A7,Tabla17[],8,FALSE)</f>
        <v>#N/A</v>
      </c>
      <c r="P7" t="e">
        <f>VLOOKUP(A7,Tabla110[],2,FALSE)</f>
        <v>#N/A</v>
      </c>
      <c r="Q7" t="e">
        <f>VLOOKUP(A7,Tabla110[],3,FALSE)</f>
        <v>#N/A</v>
      </c>
      <c r="R7" t="e">
        <f>VLOOKUP(A7,Tabla29[],2,FALSE)</f>
        <v>#N/A</v>
      </c>
      <c r="S7" t="e">
        <f>VLOOKUP(A7,Tabla29[],3,FALSE)</f>
        <v>#N/A</v>
      </c>
      <c r="T7" t="e">
        <f>VLOOKUP(A7,Tabla18[],3,FALSE)</f>
        <v>#N/A</v>
      </c>
    </row>
    <row r="8" spans="1:20" x14ac:dyDescent="0.25">
      <c r="A8" s="2" t="s">
        <v>108</v>
      </c>
      <c r="B8" t="str">
        <f>VLOOKUP(A8,Tabla1[],2,FALSE)</f>
        <v>2.273.000.000</v>
      </c>
      <c r="C8" t="str">
        <f>VLOOKUP(A8,Tabla1[],3,FALSE)</f>
        <v>3,04%</v>
      </c>
      <c r="D8">
        <f>VLOOKUP(A8,Tabla1[],4,FALSE)</f>
        <v>21.675999999999998</v>
      </c>
      <c r="E8">
        <f>VLOOKUP(A8,Tabla2[],2,FALSE)</f>
        <v>1.1000000000000001</v>
      </c>
      <c r="F8">
        <f>VLOOKUP(A8,Tabla2[],3,FALSE)</f>
        <v>530</v>
      </c>
      <c r="G8" t="str">
        <f>VLOOKUP(A8,Tabla4[],3,FALSE)</f>
        <v>358,1</v>
      </c>
      <c r="H8">
        <f>VLOOKUP(A8,Tabla3[],3,FALSE)</f>
        <v>1.492</v>
      </c>
      <c r="I8" t="e">
        <f>VLOOKUP(A8,Tabla16[],2,FALSE)</f>
        <v>#N/A</v>
      </c>
      <c r="J8">
        <f>VLOOKUP(A8,Tabla17[],3,FALSE)</f>
        <v>1.7999999999999999E-2</v>
      </c>
      <c r="K8">
        <f>VLOOKUP(A8,Tabla17[],4,FALSE)</f>
        <v>0.20799999999999999</v>
      </c>
      <c r="L8">
        <f>VLOOKUP(A8,Tabla17[],5,FALSE)</f>
        <v>0.77300000000000002</v>
      </c>
      <c r="M8">
        <f>VLOOKUP(A8,Tabla17[],6,FALSE)</f>
        <v>43</v>
      </c>
      <c r="N8">
        <f>VLOOKUP(A8,Tabla17[],7,FALSE)</f>
        <v>499</v>
      </c>
      <c r="O8">
        <f>VLOOKUP(A8,Tabla17[],8,FALSE)</f>
        <v>1854</v>
      </c>
      <c r="P8" t="e">
        <f>VLOOKUP(A8,Tabla110[],2,FALSE)</f>
        <v>#N/A</v>
      </c>
      <c r="Q8" t="e">
        <f>VLOOKUP(A8,Tabla110[],3,FALSE)</f>
        <v>#N/A</v>
      </c>
      <c r="R8">
        <f>VLOOKUP(A8,Tabla29[],2,FALSE)</f>
        <v>6.3170000000000002</v>
      </c>
      <c r="S8">
        <f>VLOOKUP(A8,Tabla29[],3,FALSE)</f>
        <v>40</v>
      </c>
      <c r="T8" t="e">
        <f>VLOOKUP(A8,Tabla18[],3,FALSE)</f>
        <v>#N/A</v>
      </c>
    </row>
    <row r="9" spans="1:20" x14ac:dyDescent="0.25">
      <c r="A9" s="1" t="s">
        <v>157</v>
      </c>
      <c r="B9" t="str">
        <f>VLOOKUP(A9,Tabla1[],2,FALSE)</f>
        <v>1.276.943.000.000</v>
      </c>
      <c r="C9" t="str">
        <f>VLOOKUP(A9,Tabla1[],3,FALSE)</f>
        <v>4,50%</v>
      </c>
      <c r="D9">
        <f>VLOOKUP(A9,Tabla1[],4,FALSE)</f>
        <v>35.463999999999999</v>
      </c>
      <c r="E9">
        <f>VLOOKUP(A9,Tabla2[],2,FALSE)</f>
        <v>55.277000000000001</v>
      </c>
      <c r="F9">
        <f>VLOOKUP(A9,Tabla2[],3,FALSE)</f>
        <v>101.66500000000001</v>
      </c>
      <c r="G9" t="e">
        <f>VLOOKUP(A9,Tabla4[],3,FALSE)</f>
        <v>#N/A</v>
      </c>
      <c r="H9">
        <f>VLOOKUP(A9,Tabla3[],3,FALSE)</f>
        <v>324.245</v>
      </c>
      <c r="I9" t="str">
        <f>VLOOKUP(A9,Tabla16[],2,FALSE)</f>
        <v>4,88</v>
      </c>
      <c r="J9">
        <f>VLOOKUP(A9,Tabla17[],3,FALSE)</f>
        <v>2.5999999999999999E-2</v>
      </c>
      <c r="K9">
        <f>VLOOKUP(A9,Tabla17[],4,FALSE)</f>
        <v>0.442</v>
      </c>
      <c r="L9">
        <f>VLOOKUP(A9,Tabla17[],5,FALSE)</f>
        <v>0.53200000000000003</v>
      </c>
      <c r="M9" t="str">
        <f>VLOOKUP(A9,Tabla17[],6,FALSE)</f>
        <v>46 150</v>
      </c>
      <c r="N9" t="str">
        <f>VLOOKUP(A9,Tabla17[],7,FALSE)</f>
        <v>784 550</v>
      </c>
      <c r="O9" t="str">
        <f>VLOOKUP(A9,Tabla17[],8,FALSE)</f>
        <v>944 300</v>
      </c>
      <c r="P9" t="str">
        <f>VLOOKUP(A9,Tabla110[],2,FALSE)</f>
        <v> RIYAL DE ARABIA SAUDITA</v>
      </c>
      <c r="Q9">
        <f>VLOOKUP(A9,Tabla110[],3,FALSE)</f>
        <v>37554</v>
      </c>
      <c r="R9">
        <f>VLOOKUP(A9,Tabla29[],2,FALSE)</f>
        <v>12.8</v>
      </c>
      <c r="S9">
        <f>VLOOKUP(A9,Tabla29[],3,FALSE)</f>
        <v>48</v>
      </c>
      <c r="T9">
        <f>VLOOKUP(A9,Tabla18[],3,FALSE)</f>
        <v>65.400000000000006</v>
      </c>
    </row>
    <row r="10" spans="1:20" x14ac:dyDescent="0.25">
      <c r="A10" s="2" t="s">
        <v>138</v>
      </c>
      <c r="B10" t="str">
        <f>VLOOKUP(A10,Tabla1[],2,FALSE)</f>
        <v>285.724.000.000</v>
      </c>
      <c r="C10" t="str">
        <f>VLOOKUP(A10,Tabla1[],3,FALSE)</f>
        <v>3,82%</v>
      </c>
      <c r="D10">
        <f>VLOOKUP(A10,Tabla1[],4,FALSE)</f>
        <v>6.0469999999999997</v>
      </c>
      <c r="E10">
        <f>VLOOKUP(A10,Tabla2[],2,FALSE)</f>
        <v>3.8769999999999998</v>
      </c>
      <c r="F10">
        <f>VLOOKUP(A10,Tabla2[],3,FALSE)</f>
        <v>8.2789999999999999</v>
      </c>
      <c r="G10" t="e">
        <f>VLOOKUP(A10,Tabla4[],3,FALSE)</f>
        <v>#N/A</v>
      </c>
      <c r="H10">
        <f>VLOOKUP(A10,Tabla3[],3,FALSE)</f>
        <v>129.374</v>
      </c>
      <c r="I10">
        <f>VLOOKUP(A10,Tabla16[],2,FALSE)</f>
        <v>11.81</v>
      </c>
      <c r="J10">
        <f>VLOOKUP(A10,Tabla17[],3,FALSE)</f>
        <v>0.13300000000000001</v>
      </c>
      <c r="K10">
        <f>VLOOKUP(A10,Tabla17[],4,FALSE)</f>
        <v>0.39300000000000002</v>
      </c>
      <c r="L10">
        <f>VLOOKUP(A10,Tabla17[],5,FALSE)</f>
        <v>0.47399999999999998</v>
      </c>
      <c r="M10" t="str">
        <f>VLOOKUP(A10,Tabla17[],6,FALSE)</f>
        <v>83 790</v>
      </c>
      <c r="N10" t="str">
        <f>VLOOKUP(A10,Tabla17[],7,FALSE)</f>
        <v>247 590</v>
      </c>
      <c r="O10" t="str">
        <f>VLOOKUP(A10,Tabla17[],8,FALSE)</f>
        <v>298 620</v>
      </c>
      <c r="P10" t="str">
        <f>VLOOKUP(A10,Tabla110[],2,FALSE)</f>
        <v> DINAR DE ARGELIA</v>
      </c>
      <c r="Q10">
        <f>VLOOKUP(A10,Tabla110[],3,FALSE)</f>
        <v>1352875</v>
      </c>
      <c r="R10">
        <f>VLOOKUP(A10,Tabla29[],2,FALSE)</f>
        <v>2.1320000000000001</v>
      </c>
      <c r="S10">
        <f>VLOOKUP(A10,Tabla29[],3,FALSE)</f>
        <v>40</v>
      </c>
      <c r="T10">
        <f>VLOOKUP(A10,Tabla18[],3,FALSE)</f>
        <v>45.8</v>
      </c>
    </row>
    <row r="11" spans="1:20" x14ac:dyDescent="0.25">
      <c r="A11" s="2" t="s">
        <v>152</v>
      </c>
      <c r="B11" t="str">
        <f>VLOOKUP(A11,Tabla1[],2,FALSE)</f>
        <v>681.485.000.000</v>
      </c>
      <c r="C11" t="str">
        <f>VLOOKUP(A11,Tabla1[],3,FALSE)</f>
        <v>4,37%</v>
      </c>
      <c r="D11">
        <f>VLOOKUP(A11,Tabla1[],4,FALSE)</f>
        <v>14.355</v>
      </c>
      <c r="E11">
        <f>VLOOKUP(A11,Tabla2[],2,FALSE)</f>
        <v>17.122</v>
      </c>
      <c r="F11">
        <f>VLOOKUP(A11,Tabla2[],3,FALSE)</f>
        <v>22.597999999999999</v>
      </c>
      <c r="G11" t="str">
        <f>VLOOKUP(A11,Tabla4[],3,FALSE)</f>
        <v>179.720,3</v>
      </c>
      <c r="H11">
        <f>VLOOKUP(A11,Tabla3[],3,FALSE)</f>
        <v>539.43700000000001</v>
      </c>
      <c r="I11">
        <f>VLOOKUP(A11,Tabla16[],2,FALSE)</f>
        <v>6.18</v>
      </c>
      <c r="J11">
        <f>VLOOKUP(A11,Tabla17[],3,FALSE)</f>
        <v>0.108</v>
      </c>
      <c r="K11">
        <f>VLOOKUP(A11,Tabla17[],4,FALSE)</f>
        <v>0.28100000000000003</v>
      </c>
      <c r="L11">
        <f>VLOOKUP(A11,Tabla17[],5,FALSE)</f>
        <v>0.61099999999999999</v>
      </c>
      <c r="M11" t="str">
        <f>VLOOKUP(A11,Tabla17[],6,FALSE)</f>
        <v>99 587</v>
      </c>
      <c r="N11" t="str">
        <f>VLOOKUP(A11,Tabla17[],7,FALSE)</f>
        <v>259 110</v>
      </c>
      <c r="O11" t="str">
        <f>VLOOKUP(A11,Tabla17[],8,FALSE)</f>
        <v>563 403</v>
      </c>
      <c r="P11" t="str">
        <f>VLOOKUP(A11,Tabla110[],2,FALSE)</f>
        <v> PESO ARGENTINO</v>
      </c>
      <c r="Q11">
        <f>VLOOKUP(A11,Tabla110[],3,FALSE)</f>
        <v>1027</v>
      </c>
      <c r="R11" t="e">
        <f>VLOOKUP(A11,Tabla29[],2,FALSE)</f>
        <v>#N/A</v>
      </c>
      <c r="S11" t="e">
        <f>VLOOKUP(A11,Tabla29[],3,FALSE)</f>
        <v>#N/A</v>
      </c>
      <c r="T11">
        <f>VLOOKUP(A11,Tabla18[],3,FALSE)</f>
        <v>57.4</v>
      </c>
    </row>
    <row r="12" spans="1:20" x14ac:dyDescent="0.25">
      <c r="A12" s="1" t="s">
        <v>207</v>
      </c>
      <c r="B12" t="str">
        <f>VLOOKUP(A12,Tabla1[],2,FALSE)</f>
        <v>29.243.000.000</v>
      </c>
      <c r="C12" t="str">
        <f>VLOOKUP(A12,Tabla1[],3,FALSE)</f>
        <v>7,16%</v>
      </c>
      <c r="D12">
        <f>VLOOKUP(A12,Tabla1[],4,FALSE)</f>
        <v>9.5210000000000008</v>
      </c>
      <c r="E12">
        <f>VLOOKUP(A12,Tabla2[],2,FALSE)</f>
        <v>5.6820000000000004</v>
      </c>
      <c r="F12">
        <f>VLOOKUP(A12,Tabla2[],3,FALSE)</f>
        <v>3.847</v>
      </c>
      <c r="G12" t="str">
        <f>VLOOKUP(A12,Tabla4[],3,FALSE)</f>
        <v>5.661,3</v>
      </c>
      <c r="H12">
        <f>VLOOKUP(A12,Tabla3[],3,FALSE)</f>
        <v>12.967000000000001</v>
      </c>
      <c r="I12" t="str">
        <f>VLOOKUP(A12,Tabla16[],2,FALSE)</f>
        <v>8,59</v>
      </c>
      <c r="J12">
        <f>VLOOKUP(A12,Tabla17[],3,FALSE)</f>
        <v>0.16700000000000001</v>
      </c>
      <c r="K12">
        <f>VLOOKUP(A12,Tabla17[],4,FALSE)</f>
        <v>0.28199999999999997</v>
      </c>
      <c r="L12">
        <f>VLOOKUP(A12,Tabla17[],5,FALSE)</f>
        <v>0.54800000000000004</v>
      </c>
      <c r="M12">
        <f>VLOOKUP(A12,Tabla17[],6,FALSE)</f>
        <v>4733</v>
      </c>
      <c r="N12">
        <f>VLOOKUP(A12,Tabla17[],7,FALSE)</f>
        <v>7992</v>
      </c>
      <c r="O12" t="str">
        <f>VLOOKUP(A12,Tabla17[],8,FALSE)</f>
        <v>15 530</v>
      </c>
      <c r="P12" t="e">
        <f>VLOOKUP(A12,Tabla110[],2,FALSE)</f>
        <v>#N/A</v>
      </c>
      <c r="Q12" t="e">
        <f>VLOOKUP(A12,Tabla110[],3,FALSE)</f>
        <v>#N/A</v>
      </c>
      <c r="R12">
        <f>VLOOKUP(A12,Tabla29[],2,FALSE)</f>
        <v>1.7869999999999999</v>
      </c>
      <c r="S12">
        <f>VLOOKUP(A12,Tabla29[],3,FALSE)</f>
        <v>40</v>
      </c>
      <c r="T12">
        <f>VLOOKUP(A12,Tabla18[],3,FALSE)</f>
        <v>67.099999999999994</v>
      </c>
    </row>
    <row r="13" spans="1:20" x14ac:dyDescent="0.25">
      <c r="A13" s="1" t="s">
        <v>185</v>
      </c>
      <c r="B13" t="str">
        <f>VLOOKUP(A13,Tabla1[],2,FALSE)</f>
        <v>4.521.000.000</v>
      </c>
      <c r="C13" t="str">
        <f>VLOOKUP(A13,Tabla1[],3,FALSE)</f>
        <v>5,61%</v>
      </c>
      <c r="D13">
        <f>VLOOKUP(A13,Tabla1[],4,FALSE)</f>
        <v>41.462000000000003</v>
      </c>
      <c r="E13">
        <f>VLOOKUP(A13,Tabla2[],2,FALSE)</f>
        <v>2.9889999999999999</v>
      </c>
      <c r="F13">
        <f>VLOOKUP(A13,Tabla2[],3,FALSE)</f>
        <v>1.18</v>
      </c>
      <c r="G13" t="e">
        <f>VLOOKUP(A13,Tabla4[],3,FALSE)</f>
        <v>#N/A</v>
      </c>
      <c r="H13" t="e">
        <f>VLOOKUP(A13,Tabla3[],3,FALSE)</f>
        <v>#N/A</v>
      </c>
      <c r="I13">
        <f>VLOOKUP(A13,Tabla16[],2,FALSE)</f>
        <v>4.4000000000000004</v>
      </c>
      <c r="J13" t="e">
        <f>VLOOKUP(A13,Tabla17[],3,FALSE)</f>
        <v>#N/A</v>
      </c>
      <c r="K13" t="e">
        <f>VLOOKUP(A13,Tabla17[],4,FALSE)</f>
        <v>#N/A</v>
      </c>
      <c r="L13" t="e">
        <f>VLOOKUP(A13,Tabla17[],5,FALSE)</f>
        <v>#N/A</v>
      </c>
      <c r="M13" t="e">
        <f>VLOOKUP(A13,Tabla17[],6,FALSE)</f>
        <v>#N/A</v>
      </c>
      <c r="N13" t="e">
        <f>VLOOKUP(A13,Tabla17[],7,FALSE)</f>
        <v>#N/A</v>
      </c>
      <c r="O13" t="e">
        <f>VLOOKUP(A13,Tabla17[],8,FALSE)</f>
        <v>#N/A</v>
      </c>
      <c r="P13" t="str">
        <f>VLOOKUP(A13,Tabla110[],2,FALSE)</f>
        <v> FLORÍN DE ARUBA</v>
      </c>
      <c r="Q13" t="str">
        <f>VLOOKUP(A13,Tabla110[],3,FALSE)</f>
        <v>1,78</v>
      </c>
      <c r="R13" t="e">
        <f>VLOOKUP(A13,Tabla29[],2,FALSE)</f>
        <v>#N/A</v>
      </c>
      <c r="S13" t="e">
        <f>VLOOKUP(A13,Tabla29[],3,FALSE)</f>
        <v>#N/A</v>
      </c>
      <c r="T13" t="e">
        <f>VLOOKUP(A13,Tabla18[],3,FALSE)</f>
        <v>#N/A</v>
      </c>
    </row>
    <row r="14" spans="1:20" x14ac:dyDescent="0.25">
      <c r="A14" s="2" t="s">
        <v>56</v>
      </c>
      <c r="B14" t="str">
        <f>VLOOKUP(A14,Tabla1[],2,FALSE)</f>
        <v>1.839.961.000.000</v>
      </c>
      <c r="C14" t="str">
        <f>VLOOKUP(A14,Tabla1[],3,FALSE)</f>
        <v>1,97%</v>
      </c>
      <c r="D14">
        <f>VLOOKUP(A14,Tabla1[],4,FALSE)</f>
        <v>66.352000000000004</v>
      </c>
      <c r="E14">
        <f>VLOOKUP(A14,Tabla2[],2,FALSE)</f>
        <v>83.385999999999996</v>
      </c>
      <c r="F14">
        <f>VLOOKUP(A14,Tabla2[],3,FALSE)</f>
        <v>108.66500000000001</v>
      </c>
      <c r="G14" t="str">
        <f>VLOOKUP(A14,Tabla4[],3,FALSE)</f>
        <v>530.370,6</v>
      </c>
      <c r="H14">
        <f>VLOOKUP(A14,Tabla3[],3,FALSE)</f>
        <v>910.58699999999999</v>
      </c>
      <c r="I14">
        <f>VLOOKUP(A14,Tabla16[],2,FALSE)</f>
        <v>3.67</v>
      </c>
      <c r="J14">
        <f>VLOOKUP(A14,Tabla17[],3,FALSE)</f>
        <v>3.5999999999999997E-2</v>
      </c>
      <c r="K14">
        <f>VLOOKUP(A14,Tabla17[],4,FALSE)</f>
        <v>0.253</v>
      </c>
      <c r="L14">
        <f>VLOOKUP(A14,Tabla17[],5,FALSE)</f>
        <v>0.71199999999999997</v>
      </c>
      <c r="M14" t="str">
        <f>VLOOKUP(A14,Tabla17[],6,FALSE)</f>
        <v>44 928</v>
      </c>
      <c r="N14" t="str">
        <f>VLOOKUP(A14,Tabla17[],7,FALSE)</f>
        <v>315 744</v>
      </c>
      <c r="O14">
        <f>VLOOKUP(A14,Tabla17[],8,FALSE)</f>
        <v>887328</v>
      </c>
      <c r="P14" t="str">
        <f>VLOOKUP(A14,Tabla110[],2,FALSE)</f>
        <v> DÓLAR AUSTRALIANO</v>
      </c>
      <c r="Q14" t="str">
        <f>VLOOKUP(A14,Tabla110[],3,FALSE)</f>
        <v>0,6229</v>
      </c>
      <c r="R14">
        <f>VLOOKUP(A14,Tabla29[],2,FALSE)</f>
        <v>35.81</v>
      </c>
      <c r="S14">
        <f>VLOOKUP(A14,Tabla29[],3,FALSE)</f>
        <v>38</v>
      </c>
      <c r="T14">
        <f>VLOOKUP(A14,Tabla18[],3,FALSE)</f>
        <v>80.099999999999994</v>
      </c>
    </row>
    <row r="15" spans="1:20" x14ac:dyDescent="0.25">
      <c r="A15" s="1" t="s">
        <v>15</v>
      </c>
      <c r="B15" t="str">
        <f>VLOOKUP(A15,Tabla1[],2,FALSE)</f>
        <v>579.928.000.000</v>
      </c>
      <c r="C15" t="str">
        <f>VLOOKUP(A15,Tabla1[],3,FALSE)</f>
        <v>0,62%</v>
      </c>
      <c r="D15">
        <f>VLOOKUP(A15,Tabla1[],4,FALSE)</f>
        <v>63.161000000000001</v>
      </c>
      <c r="E15">
        <f>VLOOKUP(TRIM(A15),Tabla2[],2,FALSE)</f>
        <v>94.302999999999997</v>
      </c>
      <c r="F15">
        <f>VLOOKUP(A15,Tabla2[],3,FALSE)</f>
        <v>87.983999999999995</v>
      </c>
      <c r="G15" t="str">
        <f>VLOOKUP(A15,Tabla4[],3,FALSE)</f>
        <v>231.962,2</v>
      </c>
      <c r="H15">
        <f>VLOOKUP(A15,Tabla3[],3,FALSE)</f>
        <v>423.3</v>
      </c>
      <c r="I15">
        <f>VLOOKUP(A15,Tabla16[],2,FALSE)</f>
        <v>5.24</v>
      </c>
      <c r="J15">
        <f>VLOOKUP(A15,Tabla17[],3,FALSE)</f>
        <v>1.2999999999999999E-2</v>
      </c>
      <c r="K15">
        <f>VLOOKUP(A15,Tabla17[],4,FALSE)</f>
        <v>0.28399999999999997</v>
      </c>
      <c r="L15">
        <f>VLOOKUP(A15,Tabla17[],5,FALSE)</f>
        <v>0.70299999999999996</v>
      </c>
      <c r="M15">
        <f>VLOOKUP(A15,Tabla17[],6,FALSE)</f>
        <v>5733</v>
      </c>
      <c r="N15" t="str">
        <f>VLOOKUP(A15,Tabla17[],7,FALSE)</f>
        <v>125 244</v>
      </c>
      <c r="O15" t="str">
        <f>VLOOKUP(A15,Tabla17[],8,FALSE)</f>
        <v>310 023</v>
      </c>
      <c r="P15" t="e">
        <f>VLOOKUP(A15,Tabla110[],2,FALSE)</f>
        <v>#N/A</v>
      </c>
      <c r="Q15" t="e">
        <f>VLOOKUP(A15,Tabla110[],3,FALSE)</f>
        <v>#N/A</v>
      </c>
      <c r="R15">
        <f>VLOOKUP(A15,Tabla29[],2,FALSE)</f>
        <v>0</v>
      </c>
      <c r="S15">
        <f>VLOOKUP(A15,Tabla29[],3,FALSE)</f>
        <v>40</v>
      </c>
      <c r="T15">
        <f>VLOOKUP(A15,Tabla18[],3,FALSE)</f>
        <v>69.8</v>
      </c>
    </row>
    <row r="16" spans="1:20" x14ac:dyDescent="0.25">
      <c r="A16" s="2" t="s">
        <v>40</v>
      </c>
      <c r="B16" t="str">
        <f>VLOOKUP(A16,Tabla1[],2,FALSE)</f>
        <v>75.938.000.000</v>
      </c>
      <c r="C16" t="str">
        <f>VLOOKUP(A16,Tabla1[],3,FALSE)</f>
        <v>1,40%</v>
      </c>
      <c r="D16">
        <f>VLOOKUP(A16,Tabla1[],4,FALSE)</f>
        <v>7.3220000000000001</v>
      </c>
      <c r="E16">
        <f>VLOOKUP(A16,Tabla2[],2,FALSE)</f>
        <v>8.1210000000000004</v>
      </c>
      <c r="F16">
        <f>VLOOKUP(A16,Tabla2[],3,FALSE)</f>
        <v>10.170999999999999</v>
      </c>
      <c r="G16" t="str">
        <f>VLOOKUP(A16,Tabla4[],3,FALSE)</f>
        <v>16.641,5</v>
      </c>
      <c r="H16">
        <f>VLOOKUP(A16,Tabla3[],3,FALSE)</f>
        <v>16.106000000000002</v>
      </c>
      <c r="I16">
        <f>VLOOKUP(A16,Tabla16[],2,FALSE)</f>
        <v>5.64</v>
      </c>
      <c r="J16">
        <f>VLOOKUP(A16,Tabla17[],3,FALSE)</f>
        <v>6.0999999999999999E-2</v>
      </c>
      <c r="K16">
        <f>VLOOKUP(A16,Tabla17[],4,FALSE)</f>
        <v>0.53500000000000003</v>
      </c>
      <c r="L16">
        <f>VLOOKUP(A16,Tabla17[],5,FALSE)</f>
        <v>0.40400000000000003</v>
      </c>
      <c r="M16" t="str">
        <f>VLOOKUP(A16,Tabla17[],6,FALSE)</f>
        <v>10 504</v>
      </c>
      <c r="N16" t="str">
        <f>VLOOKUP(A16,Tabla17[],7,FALSE)</f>
        <v>92 127</v>
      </c>
      <c r="O16" t="str">
        <f>VLOOKUP(A16,Tabla17[],8,FALSE)</f>
        <v>69 569</v>
      </c>
      <c r="P16" t="e">
        <f>VLOOKUP(A16,Tabla110[],2,FALSE)</f>
        <v>#N/A</v>
      </c>
      <c r="Q16" t="e">
        <f>VLOOKUP(A16,Tabla110[],3,FALSE)</f>
        <v>#N/A</v>
      </c>
      <c r="R16">
        <f>VLOOKUP(A16,Tabla29[],2,FALSE)</f>
        <v>2.4350000000000001</v>
      </c>
      <c r="S16">
        <f>VLOOKUP(A16,Tabla29[],3,FALSE)</f>
        <v>40</v>
      </c>
      <c r="T16">
        <f>VLOOKUP(A16,Tabla18[],3,FALSE)</f>
        <v>64.3</v>
      </c>
    </row>
    <row r="17" spans="1:20" x14ac:dyDescent="0.25">
      <c r="A17" s="2" t="s">
        <v>96</v>
      </c>
      <c r="B17" t="str">
        <f>VLOOKUP(A17,Tabla1[],2,FALSE)</f>
        <v>16.508.000.000</v>
      </c>
      <c r="C17" t="str">
        <f>VLOOKUP(A17,Tabla1[],3,FALSE)</f>
        <v>2,80%</v>
      </c>
      <c r="D17">
        <f>VLOOKUP(A17,Tabla1[],4,FALSE)</f>
        <v>40.005000000000003</v>
      </c>
      <c r="E17">
        <f>VLOOKUP(A17,Tabla2[],2,FALSE)</f>
        <v>5.1440000000000001</v>
      </c>
      <c r="F17">
        <f>VLOOKUP(A17,Tabla2[],3,FALSE)</f>
        <v>2198</v>
      </c>
      <c r="G17" t="str">
        <f>VLOOKUP(A17,Tabla4[],3,FALSE)</f>
        <v>2.788,9</v>
      </c>
      <c r="H17">
        <f>VLOOKUP(A17,Tabla3[],3,FALSE)</f>
        <v>11.483000000000001</v>
      </c>
      <c r="I17" t="e">
        <f>VLOOKUP(A17,Tabla16[],2,FALSE)</f>
        <v>#N/A</v>
      </c>
      <c r="J17">
        <f>VLOOKUP(A17,Tabla17[],3,FALSE)</f>
        <v>2.3E-2</v>
      </c>
      <c r="K17">
        <f>VLOOKUP(A17,Tabla17[],4,FALSE)</f>
        <v>7.6999999999999999E-2</v>
      </c>
      <c r="L17">
        <f>VLOOKUP(A17,Tabla17[],5,FALSE)</f>
        <v>0.9</v>
      </c>
      <c r="M17">
        <f>VLOOKUP(A17,Tabla17[],6,FALSE)</f>
        <v>277</v>
      </c>
      <c r="N17">
        <f>VLOOKUP(A17,Tabla17[],7,FALSE)</f>
        <v>929</v>
      </c>
      <c r="O17" t="str">
        <f>VLOOKUP(A17,Tabla17[],8,FALSE)</f>
        <v>10 854</v>
      </c>
      <c r="P17" t="e">
        <f>VLOOKUP(A17,Tabla110[],2,FALSE)</f>
        <v>#N/A</v>
      </c>
      <c r="Q17" t="e">
        <f>VLOOKUP(A17,Tabla110[],3,FALSE)</f>
        <v>#N/A</v>
      </c>
      <c r="R17" t="e">
        <f>VLOOKUP(A17,Tabla29[],2,FALSE)</f>
        <v>#N/A</v>
      </c>
      <c r="S17" t="e">
        <f>VLOOKUP(A17,Tabla29[],3,FALSE)</f>
        <v>#N/A</v>
      </c>
      <c r="T17">
        <f>VLOOKUP(A17,Tabla18[],3,FALSE)</f>
        <v>65.099999999999994</v>
      </c>
    </row>
    <row r="18" spans="1:20" x14ac:dyDescent="0.25">
      <c r="A18" s="1" t="s">
        <v>123</v>
      </c>
      <c r="B18" t="str">
        <f>VLOOKUP(A18,Tabla1[],2,FALSE)</f>
        <v>457.904.000.000</v>
      </c>
      <c r="C18" t="str">
        <f>VLOOKUP(A18,Tabla1[],3,FALSE)</f>
        <v>3,49%</v>
      </c>
      <c r="D18">
        <f>VLOOKUP(A18,Tabla1[],4,FALSE)</f>
        <v>2.6360000000000001</v>
      </c>
      <c r="E18">
        <f>VLOOKUP(A18,Tabla2[],2,FALSE)</f>
        <v>6.6520000000000001</v>
      </c>
      <c r="F18">
        <f>VLOOKUP(A18,Tabla2[],3,FALSE)</f>
        <v>11.313000000000001</v>
      </c>
      <c r="G18" t="e">
        <f>VLOOKUP(A18,Tabla4[],3,FALSE)</f>
        <v>#N/A</v>
      </c>
      <c r="H18" t="e">
        <f>VLOOKUP(A18,Tabla3[],3,FALSE)</f>
        <v>#N/A</v>
      </c>
      <c r="I18">
        <f>VLOOKUP(A18,Tabla16[],2,FALSE)</f>
        <v>5.0599999999999996</v>
      </c>
      <c r="J18" t="e">
        <f>VLOOKUP(A18,Tabla17[],3,FALSE)</f>
        <v>#N/A</v>
      </c>
      <c r="K18" t="e">
        <f>VLOOKUP(A18,Tabla17[],4,FALSE)</f>
        <v>#N/A</v>
      </c>
      <c r="L18" t="e">
        <f>VLOOKUP(A18,Tabla17[],5,FALSE)</f>
        <v>#N/A</v>
      </c>
      <c r="M18" t="e">
        <f>VLOOKUP(A18,Tabla17[],6,FALSE)</f>
        <v>#N/A</v>
      </c>
      <c r="N18" t="e">
        <f>VLOOKUP(A18,Tabla17[],7,FALSE)</f>
        <v>#N/A</v>
      </c>
      <c r="O18" t="e">
        <f>VLOOKUP(A18,Tabla17[],8,FALSE)</f>
        <v>#N/A</v>
      </c>
      <c r="P18" t="str">
        <f>VLOOKUP(A18,Tabla110[],2,FALSE)</f>
        <v> TAKA DE BANGLADESH</v>
      </c>
      <c r="Q18">
        <f>VLOOKUP(A18,Tabla110[],3,FALSE)</f>
        <v>119</v>
      </c>
      <c r="R18">
        <f>VLOOKUP(A18,Tabla29[],2,FALSE)</f>
        <v>212</v>
      </c>
      <c r="S18">
        <f>VLOOKUP(A18,Tabla29[],3,FALSE)</f>
        <v>48</v>
      </c>
      <c r="T18" t="e">
        <f>VLOOKUP(A18,Tabla18[],3,FALSE)</f>
        <v>#N/A</v>
      </c>
    </row>
    <row r="19" spans="1:20" x14ac:dyDescent="0.25">
      <c r="A19" s="2" t="s">
        <v>92</v>
      </c>
      <c r="B19" t="str">
        <f>VLOOKUP(A19,Tabla1[],2,FALSE)</f>
        <v>8.017.000.000</v>
      </c>
      <c r="C19" t="str">
        <f>VLOOKUP(A19,Tabla1[],3,FALSE)</f>
        <v>2,74%</v>
      </c>
      <c r="D19">
        <f>VLOOKUP(A19,Tabla1[],4,FALSE)</f>
        <v>27.494</v>
      </c>
      <c r="E19">
        <f>VLOOKUP(A19,Tabla2[],2,FALSE)</f>
        <v>1.5229999999999999</v>
      </c>
      <c r="F19">
        <f>VLOOKUP(A19,Tabla2[],3,FALSE)</f>
        <v>687</v>
      </c>
      <c r="G19" t="str">
        <f>VLOOKUP(A19,Tabla4[],3,FALSE)</f>
        <v>1.927,3</v>
      </c>
      <c r="H19">
        <f>VLOOKUP(A19,Tabla3[],3,FALSE)</f>
        <v>7.4820000000000002</v>
      </c>
      <c r="I19" t="str">
        <f>VLOOKUP(A19,Tabla16[],2,FALSE)</f>
        <v>7,95</v>
      </c>
      <c r="J19">
        <f>VLOOKUP(A19,Tabla17[],3,FALSE)</f>
        <v>1.4999999999999999E-2</v>
      </c>
      <c r="K19">
        <f>VLOOKUP(A19,Tabla17[],4,FALSE)</f>
        <v>9.8000000000000004E-2</v>
      </c>
      <c r="L19">
        <f>VLOOKUP(A19,Tabla17[],5,FALSE)</f>
        <v>0.88700000000000001</v>
      </c>
      <c r="M19">
        <f>VLOOKUP(A19,Tabla17[],6,FALSE)</f>
        <v>78</v>
      </c>
      <c r="N19">
        <f>VLOOKUP(A19,Tabla17[],7,FALSE)</f>
        <v>511</v>
      </c>
      <c r="O19">
        <f>VLOOKUP(A19,Tabla17[],8,FALSE)</f>
        <v>4628</v>
      </c>
      <c r="P19" t="str">
        <f>VLOOKUP(A19,Tabla110[],2,FALSE)</f>
        <v> DÓLAR DE BARBADOS</v>
      </c>
      <c r="Q19">
        <f>VLOOKUP(A19,Tabla110[],3,FALSE)</f>
        <v>19981</v>
      </c>
      <c r="R19">
        <f>VLOOKUP(A19,Tabla29[],2,FALSE)</f>
        <v>10.92</v>
      </c>
      <c r="S19">
        <f>VLOOKUP(A19,Tabla29[],3,FALSE)</f>
        <v>40</v>
      </c>
      <c r="T19">
        <f>VLOOKUP(A19,Tabla18[],3,FALSE)</f>
        <v>70.400000000000006</v>
      </c>
    </row>
    <row r="20" spans="1:20" x14ac:dyDescent="0.25">
      <c r="A20" s="1" t="s">
        <v>115</v>
      </c>
      <c r="B20" t="str">
        <f>VLOOKUP(A20,Tabla1[],2,FALSE)</f>
        <v>47.538.000.000</v>
      </c>
      <c r="C20" t="str">
        <f>VLOOKUP(A20,Tabla1[],3,FALSE)</f>
        <v>3,11%</v>
      </c>
      <c r="D20">
        <f>VLOOKUP(A20,Tabla1[],4,FALSE)</f>
        <v>29.344000000000001</v>
      </c>
      <c r="E20" t="e">
        <f>VLOOKUP(A20,Tabla2[],2,FALSE)</f>
        <v>#N/A</v>
      </c>
      <c r="F20" t="e">
        <f>VLOOKUP(A20,Tabla2[],3,FALSE)</f>
        <v>#N/A</v>
      </c>
      <c r="G20" t="e">
        <f>VLOOKUP(A20,Tabla4[],3,FALSE)</f>
        <v>#N/A</v>
      </c>
      <c r="H20">
        <f>VLOOKUP(A20,Tabla3[],3,FALSE)</f>
        <v>56.828000000000003</v>
      </c>
      <c r="I20" t="e">
        <f>VLOOKUP(A20,Tabla16[],2,FALSE)</f>
        <v>#N/A</v>
      </c>
      <c r="J20">
        <f>VLOOKUP(A20,Tabla17[],3,FALSE)</f>
        <v>3.0000000000000001E-3</v>
      </c>
      <c r="K20">
        <f>VLOOKUP(A20,Tabla17[],4,FALSE)</f>
        <v>0.39300000000000002</v>
      </c>
      <c r="L20">
        <f>VLOOKUP(A20,Tabla17[],5,FALSE)</f>
        <v>0.60399999999999998</v>
      </c>
      <c r="M20">
        <f>VLOOKUP(A20,Tabla17[],6,FALSE)</f>
        <v>214</v>
      </c>
      <c r="N20" t="str">
        <f>VLOOKUP(A20,Tabla17[],7,FALSE)</f>
        <v>27 970</v>
      </c>
      <c r="O20" t="str">
        <f>VLOOKUP(A20,Tabla17[],8,FALSE)</f>
        <v>42 987</v>
      </c>
      <c r="P20" t="e">
        <f>VLOOKUP(A20,Tabla110[],2,FALSE)</f>
        <v>#N/A</v>
      </c>
      <c r="Q20" t="e">
        <f>VLOOKUP(A20,Tabla110[],3,FALSE)</f>
        <v>#N/A</v>
      </c>
      <c r="R20" t="e">
        <f>VLOOKUP(A20,Tabla29[],2,FALSE)</f>
        <v>#N/A</v>
      </c>
      <c r="S20" t="e">
        <f>VLOOKUP(A20,Tabla29[],3,FALSE)</f>
        <v>#N/A</v>
      </c>
      <c r="T20">
        <f>VLOOKUP(A20,Tabla18[],3,FALSE)</f>
        <v>65.7</v>
      </c>
    </row>
    <row r="21" spans="1:20" x14ac:dyDescent="0.25">
      <c r="A21" s="2" t="s">
        <v>24</v>
      </c>
      <c r="B21" t="str">
        <f>VLOOKUP(A21,Tabla1[],2,FALSE)</f>
        <v>724.917.000.000</v>
      </c>
      <c r="C21" t="str">
        <f>VLOOKUP(A21,Tabla1[],3,FALSE)</f>
        <v>0,97%</v>
      </c>
      <c r="D21">
        <f>VLOOKUP(A21,Tabla1[],4,FALSE)</f>
        <v>61.002000000000002</v>
      </c>
      <c r="E21">
        <f>VLOOKUP(TRIM(A21),Tabla2[],2,FALSE)</f>
        <v>148.18199999999999</v>
      </c>
      <c r="F21">
        <f>VLOOKUP(A21,Tabla2[],3,FALSE)</f>
        <v>158.99299999999999</v>
      </c>
      <c r="G21" t="str">
        <f>VLOOKUP(A21,Tabla4[],3,FALSE)</f>
        <v>282.913,2</v>
      </c>
      <c r="H21">
        <f>VLOOKUP(A21,Tabla3[],3,FALSE)</f>
        <v>695.62599999999998</v>
      </c>
      <c r="I21">
        <f>VLOOKUP(A21,Tabla16[],2,FALSE)</f>
        <v>5.51</v>
      </c>
      <c r="J21">
        <f>VLOOKUP(A21,Tabla17[],3,FALSE)</f>
        <v>7.0000000000000001E-3</v>
      </c>
      <c r="K21">
        <f>VLOOKUP(A21,Tabla17[],4,FALSE)</f>
        <v>0.221</v>
      </c>
      <c r="L21">
        <f>VLOOKUP(A21,Tabla17[],5,FALSE)</f>
        <v>0.77200000000000002</v>
      </c>
      <c r="M21">
        <f>VLOOKUP(A21,Tabla17[],6,FALSE)</f>
        <v>3704</v>
      </c>
      <c r="N21" t="str">
        <f>VLOOKUP(A21,Tabla17[],7,FALSE)</f>
        <v>116 953</v>
      </c>
      <c r="O21" t="str">
        <f>VLOOKUP(A21,Tabla17[],8,FALSE)</f>
        <v>408 542</v>
      </c>
      <c r="P21" t="e">
        <f>VLOOKUP(A21,Tabla110[],2,FALSE)</f>
        <v>#N/A</v>
      </c>
      <c r="Q21" t="e">
        <f>VLOOKUP(A21,Tabla110[],3,FALSE)</f>
        <v>#N/A</v>
      </c>
      <c r="R21">
        <f>VLOOKUP(A21,Tabla29[],2,FALSE)</f>
        <v>28.809000000000001</v>
      </c>
      <c r="S21">
        <f>VLOOKUP(A21,Tabla29[],3,FALSE)</f>
        <v>38</v>
      </c>
      <c r="T21">
        <f>VLOOKUP(A21,Tabla18[],3,FALSE)</f>
        <v>69.2</v>
      </c>
    </row>
    <row r="22" spans="1:20" x14ac:dyDescent="0.25">
      <c r="A22" s="1" t="s">
        <v>93</v>
      </c>
      <c r="B22" t="str">
        <f>VLOOKUP(A22,Tabla1[],2,FALSE)</f>
        <v>3.327.000.000</v>
      </c>
      <c r="C22" t="str">
        <f>VLOOKUP(A22,Tabla1[],3,FALSE)</f>
        <v>2,75%</v>
      </c>
      <c r="D22">
        <f>VLOOKUP(A22,Tabla1[],4,FALSE)</f>
        <v>7.968</v>
      </c>
      <c r="E22">
        <f>VLOOKUP(A22,Tabla2[],2,FALSE)</f>
        <v>1.048</v>
      </c>
      <c r="F22">
        <f>VLOOKUP(A22,Tabla2[],3,FALSE)</f>
        <v>308</v>
      </c>
      <c r="G22" t="str">
        <f>VLOOKUP(A22,Tabla4[],3,FALSE)</f>
        <v>752,1</v>
      </c>
      <c r="H22">
        <f>VLOOKUP(A22,Tabla3[],3,FALSE)</f>
        <v>2.097</v>
      </c>
      <c r="I22">
        <f>VLOOKUP(A22,Tabla16[],2,FALSE)</f>
        <v>8.26</v>
      </c>
      <c r="J22">
        <f>VLOOKUP(A22,Tabla17[],3,FALSE)</f>
        <v>0.10299999999999999</v>
      </c>
      <c r="K22">
        <f>VLOOKUP(A22,Tabla17[],4,FALSE)</f>
        <v>0.216</v>
      </c>
      <c r="L22">
        <f>VLOOKUP(A22,Tabla17[],5,FALSE)</f>
        <v>0.68</v>
      </c>
      <c r="M22">
        <f>VLOOKUP(A22,Tabla17[],6,FALSE)</f>
        <v>331</v>
      </c>
      <c r="N22">
        <f>VLOOKUP(A22,Tabla17[],7,FALSE)</f>
        <v>695</v>
      </c>
      <c r="O22">
        <f>VLOOKUP(A22,Tabla17[],8,FALSE)</f>
        <v>2188</v>
      </c>
      <c r="P22" t="str">
        <f>VLOOKUP(A22,Tabla110[],2,FALSE)</f>
        <v> DÓLAR DE BELICE</v>
      </c>
      <c r="Q22">
        <f>VLOOKUP(A22,Tabla110[],3,FALSE)</f>
        <v>20002</v>
      </c>
      <c r="R22">
        <f>VLOOKUP(A22,Tabla29[],2,FALSE)</f>
        <v>5.85</v>
      </c>
      <c r="S22">
        <f>VLOOKUP(A22,Tabla29[],3,FALSE)</f>
        <v>45</v>
      </c>
      <c r="T22">
        <f>VLOOKUP(A22,Tabla18[],3,FALSE)</f>
        <v>64.7</v>
      </c>
    </row>
    <row r="23" spans="1:20" x14ac:dyDescent="0.25">
      <c r="A23" s="2" t="s">
        <v>210</v>
      </c>
      <c r="B23" t="str">
        <f>VLOOKUP(A23,Tabla1[],2,FALSE)</f>
        <v>24.382.000.000</v>
      </c>
      <c r="C23" t="str">
        <f>VLOOKUP(A23,Tabla1[],3,FALSE)</f>
        <v>7,50%</v>
      </c>
      <c r="D23">
        <f>VLOOKUP(A23,Tabla1[],4,FALSE)</f>
        <v>1.6339999999999999</v>
      </c>
      <c r="E23" t="e">
        <f>VLOOKUP(A23,Tabla2[],2,FALSE)</f>
        <v>#N/A</v>
      </c>
      <c r="F23" t="e">
        <f>VLOOKUP(A23,Tabla2[],3,FALSE)</f>
        <v>#N/A</v>
      </c>
      <c r="G23" t="e">
        <f>VLOOKUP(A23,Tabla4[],3,FALSE)</f>
        <v>#N/A</v>
      </c>
      <c r="H23" t="e">
        <f>VLOOKUP(A23,Tabla3[],3,FALSE)</f>
        <v>#N/A</v>
      </c>
      <c r="I23" t="e">
        <f>VLOOKUP(A23,Tabla16[],2,FALSE)</f>
        <v>#N/A</v>
      </c>
      <c r="J23">
        <f>VLOOKUP(A23,Tabla17[],3,FALSE)</f>
        <v>0.26100000000000001</v>
      </c>
      <c r="K23">
        <f>VLOOKUP(A23,Tabla17[],4,FALSE)</f>
        <v>0.22800000000000001</v>
      </c>
      <c r="L23">
        <f>VLOOKUP(A23,Tabla17[],5,FALSE)</f>
        <v>0.51100000000000001</v>
      </c>
      <c r="M23">
        <f>VLOOKUP(A23,Tabla17[],6,FALSE)</f>
        <v>6627</v>
      </c>
      <c r="N23">
        <f>VLOOKUP(A23,Tabla17[],7,FALSE)</f>
        <v>5789</v>
      </c>
      <c r="O23" t="str">
        <f>VLOOKUP(A23,Tabla17[],8,FALSE)</f>
        <v>12 974</v>
      </c>
      <c r="P23" t="e">
        <f>VLOOKUP(A23,Tabla110[],2,FALSE)</f>
        <v>#N/A</v>
      </c>
      <c r="Q23" t="e">
        <f>VLOOKUP(A23,Tabla110[],3,FALSE)</f>
        <v>#N/A</v>
      </c>
      <c r="R23" t="e">
        <f>VLOOKUP(A23,Tabla29[],2,FALSE)</f>
        <v>#N/A</v>
      </c>
      <c r="S23" t="e">
        <f>VLOOKUP(A23,Tabla29[],3,FALSE)</f>
        <v>#N/A</v>
      </c>
      <c r="T23">
        <f>VLOOKUP(A23,Tabla18[],3,FALSE)</f>
        <v>60</v>
      </c>
    </row>
    <row r="24" spans="1:20" x14ac:dyDescent="0.25">
      <c r="A24" s="2" t="s">
        <v>68</v>
      </c>
      <c r="B24" t="str">
        <f>VLOOKUP(A24,Tabla1[],2,FALSE)</f>
        <v>8.980.200.000</v>
      </c>
      <c r="C24" t="str">
        <f>VLOOKUP(A24,Tabla1[],3,FALSE)</f>
        <v>2,11%</v>
      </c>
      <c r="D24">
        <f>VLOOKUP(A24,Tabla1[],4,FALSE)</f>
        <v>138.935</v>
      </c>
      <c r="E24">
        <f>VLOOKUP(A24,Tabla2[],2,FALSE)</f>
        <v>1.1259999999999999</v>
      </c>
      <c r="F24">
        <f>VLOOKUP(A24,Tabla2[],3,FALSE)</f>
        <v>840</v>
      </c>
      <c r="G24" t="e">
        <f>VLOOKUP(A24,Tabla4[],3,FALSE)</f>
        <v>#N/A</v>
      </c>
      <c r="H24" t="e">
        <f>VLOOKUP(A24,Tabla3[],3,FALSE)</f>
        <v>#N/A</v>
      </c>
      <c r="I24" t="str">
        <f>VLOOKUP(A24,Tabla16[],2,FALSE)</f>
        <v>2,50</v>
      </c>
      <c r="J24">
        <f>VLOOKUP(A24,Tabla17[],3,FALSE)</f>
        <v>8.9999999999999993E-3</v>
      </c>
      <c r="K24">
        <f>VLOOKUP(A24,Tabla17[],4,FALSE)</f>
        <v>5.2999999999999999E-2</v>
      </c>
      <c r="L24">
        <f>VLOOKUP(A24,Tabla17[],5,FALSE)</f>
        <v>0.93799999999999994</v>
      </c>
      <c r="M24">
        <f>VLOOKUP(A24,Tabla17[],6,FALSE)</f>
        <v>55</v>
      </c>
      <c r="N24">
        <f>VLOOKUP(A24,Tabla17[],7,FALSE)</f>
        <v>325</v>
      </c>
      <c r="O24">
        <f>VLOOKUP(A24,Tabla17[],8,FALSE)</f>
        <v>5747</v>
      </c>
      <c r="P24" t="e">
        <f>VLOOKUP(A24,Tabla110[],2,FALSE)</f>
        <v>#N/A</v>
      </c>
      <c r="Q24" t="e">
        <f>VLOOKUP(A24,Tabla110[],3,FALSE)</f>
        <v>#N/A</v>
      </c>
      <c r="R24" t="e">
        <f>VLOOKUP(A24,Tabla29[],2,FALSE)</f>
        <v>#N/A</v>
      </c>
      <c r="S24" t="e">
        <f>VLOOKUP(A24,Tabla29[],3,FALSE)</f>
        <v>#N/A</v>
      </c>
      <c r="T24" t="e">
        <f>VLOOKUP(A24,Tabla18[],3,FALSE)</f>
        <v>#N/A</v>
      </c>
    </row>
    <row r="25" spans="1:20" x14ac:dyDescent="0.25">
      <c r="A25" s="2" t="s">
        <v>34</v>
      </c>
      <c r="B25" t="str">
        <f>VLOOKUP(A25,Tabla1[],2,FALSE)</f>
        <v>92.766.000.000</v>
      </c>
      <c r="C25" t="str">
        <f>VLOOKUP(A25,Tabla1[],3,FALSE)</f>
        <v>1,26%</v>
      </c>
      <c r="D25">
        <f>VLOOKUP(A25,Tabla1[],4,FALSE)</f>
        <v>10.209</v>
      </c>
      <c r="E25">
        <f>VLOOKUP(A25,Tabla2[],2,FALSE)</f>
        <v>9.8889999999999993</v>
      </c>
      <c r="F25">
        <f>VLOOKUP(A25,Tabla2[],3,FALSE)</f>
        <v>6.4820000000000002</v>
      </c>
      <c r="G25" t="e">
        <f>VLOOKUP(A25,Tabla4[],3,FALSE)</f>
        <v>#N/A</v>
      </c>
      <c r="H25">
        <f>VLOOKUP(A25,Tabla3[],3,FALSE)</f>
        <v>30.398</v>
      </c>
      <c r="I25" t="str">
        <f>VLOOKUP(A25,Tabla16[],2,FALSE)</f>
        <v>3,57</v>
      </c>
      <c r="J25">
        <f>VLOOKUP(A25,Tabla17[],3,FALSE)</f>
        <v>8.1000000000000003E-2</v>
      </c>
      <c r="K25">
        <f>VLOOKUP(A25,Tabla17[],4,FALSE)</f>
        <v>0.40799999999999997</v>
      </c>
      <c r="L25">
        <f>VLOOKUP(A25,Tabla17[],5,FALSE)</f>
        <v>0.51100000000000001</v>
      </c>
      <c r="M25" t="str">
        <f>VLOOKUP(A25,Tabla17[],6,FALSE)</f>
        <v>14 531</v>
      </c>
      <c r="N25" t="str">
        <f>VLOOKUP(A25,Tabla17[],7,FALSE)</f>
        <v>73 195</v>
      </c>
      <c r="O25" t="str">
        <f>VLOOKUP(A25,Tabla17[],8,FALSE)</f>
        <v>91 673</v>
      </c>
      <c r="P25" t="str">
        <f>VLOOKUP(A25,Tabla110[],2,FALSE)</f>
        <v> RUBLO BIELORRUSO</v>
      </c>
      <c r="Q25">
        <f>VLOOKUP(A25,Tabla110[],3,FALSE)</f>
        <v>19560</v>
      </c>
      <c r="R25">
        <f>VLOOKUP(A25,Tabla29[],2,FALSE)</f>
        <v>0</v>
      </c>
      <c r="S25">
        <f>VLOOKUP(A25,Tabla29[],3,FALSE)</f>
        <v>40</v>
      </c>
      <c r="T25">
        <f>VLOOKUP(A25,Tabla18[],3,FALSE)</f>
        <v>49.1</v>
      </c>
    </row>
    <row r="26" spans="1:20" x14ac:dyDescent="0.25">
      <c r="A26" s="2" t="s">
        <v>32</v>
      </c>
      <c r="B26" t="str">
        <f>VLOOKUP(A26,Tabla1[],2,FALSE)</f>
        <v>64.250.000.000</v>
      </c>
      <c r="C26" t="str">
        <f>VLOOKUP(A26,Tabla1[],3,FALSE)</f>
        <v>−1,20%</v>
      </c>
      <c r="D26">
        <f>VLOOKUP(A26,Tabla1[],4,FALSE)</f>
        <v>5.1070000000000002</v>
      </c>
      <c r="E26">
        <f>VLOOKUP(A26,Tabla2[],2,FALSE)</f>
        <v>1.111</v>
      </c>
      <c r="F26">
        <f>VLOOKUP(A26,Tabla2[],3,FALSE)</f>
        <v>2.456</v>
      </c>
      <c r="G26" t="str">
        <f>VLOOKUP(A26,Tabla4[],3,FALSE)</f>
        <v>10.848,3</v>
      </c>
      <c r="H26">
        <f>VLOOKUP(A26,Tabla3[],3,FALSE)</f>
        <v>46.003999999999998</v>
      </c>
      <c r="I26">
        <f>VLOOKUP(A26,Tabla16[],2,FALSE)</f>
        <v>3.08</v>
      </c>
      <c r="J26">
        <f>VLOOKUP(A26,Tabla17[],3,FALSE)</f>
        <v>0.13800000000000001</v>
      </c>
      <c r="K26">
        <f>VLOOKUP(A26,Tabla17[],4,FALSE)</f>
        <v>0.378</v>
      </c>
      <c r="L26">
        <f>VLOOKUP(A26,Tabla17[],5,FALSE)</f>
        <v>0.48199999999999998</v>
      </c>
      <c r="M26" t="str">
        <f>VLOOKUP(A26,Tabla17[],6,FALSE)</f>
        <v>11 553</v>
      </c>
      <c r="N26" t="str">
        <f>VLOOKUP(A26,Tabla17[],7,FALSE)</f>
        <v>31 646</v>
      </c>
      <c r="O26" t="str">
        <f>VLOOKUP(A26,Tabla17[],8,FALSE)</f>
        <v>40 353</v>
      </c>
      <c r="P26" t="str">
        <f>VLOOKUP(A26,Tabla110[],2,FALSE)</f>
        <v> BOLIVIANO</v>
      </c>
      <c r="Q26" t="str">
        <f>VLOOKUP(A26,Tabla110[],3,FALSE)</f>
        <v>6,86</v>
      </c>
      <c r="R26">
        <f>VLOOKUP(A26,Tabla29[],2,FALSE)</f>
        <v>4.7030000000000003</v>
      </c>
      <c r="S26">
        <f>VLOOKUP(A26,Tabla29[],3,FALSE)</f>
        <v>48</v>
      </c>
      <c r="T26">
        <f>VLOOKUP(A26,Tabla18[],3,FALSE)</f>
        <v>42.4</v>
      </c>
    </row>
    <row r="27" spans="1:20" x14ac:dyDescent="0.25">
      <c r="A27" s="1" t="s">
        <v>63</v>
      </c>
      <c r="B27" t="str">
        <f>VLOOKUP(A27,Tabla1[],2,FALSE)</f>
        <v>32.962.000.000</v>
      </c>
      <c r="C27" t="str">
        <f>VLOOKUP(A27,Tabla1[],3,FALSE)</f>
        <v>2,00%</v>
      </c>
      <c r="D27">
        <f>VLOOKUP(A27,Tabla1[],4,FALSE)</f>
        <v>9.5679999999999996</v>
      </c>
      <c r="E27">
        <f>VLOOKUP(A27,Tabla2[],2,FALSE)</f>
        <v>3.5550000000000002</v>
      </c>
      <c r="F27">
        <f>VLOOKUP(A27,Tabla2[],3,FALSE)</f>
        <v>1.125</v>
      </c>
      <c r="G27" t="e">
        <f>VLOOKUP(A27,Tabla4[],3,FALSE)</f>
        <v>#N/A</v>
      </c>
      <c r="H27">
        <f>VLOOKUP(A27,Tabla3[],3,FALSE)</f>
        <v>8.7439999999999998</v>
      </c>
      <c r="I27">
        <f>VLOOKUP(A27,Tabla16[],2,FALSE)</f>
        <v>10.42</v>
      </c>
      <c r="J27">
        <f>VLOOKUP(A27,Tabla17[],3,FALSE)</f>
        <v>6.8000000000000005E-2</v>
      </c>
      <c r="K27">
        <f>VLOOKUP(A27,Tabla17[],4,FALSE)</f>
        <v>0.28899999999999998</v>
      </c>
      <c r="L27">
        <f>VLOOKUP(A27,Tabla17[],5,FALSE)</f>
        <v>0.64300000000000002</v>
      </c>
      <c r="M27">
        <f>VLOOKUP(A27,Tabla17[],6,FALSE)</f>
        <v>3048</v>
      </c>
      <c r="N27" t="str">
        <f>VLOOKUP(A27,Tabla17[],7,FALSE)</f>
        <v>12 956</v>
      </c>
      <c r="O27" t="str">
        <f>VLOOKUP(A27,Tabla17[],8,FALSE)</f>
        <v>28 826</v>
      </c>
      <c r="P27" t="e">
        <f>VLOOKUP(A27,Tabla110[],2,FALSE)</f>
        <v>#N/A</v>
      </c>
      <c r="Q27" t="e">
        <f>VLOOKUP(A27,Tabla110[],3,FALSE)</f>
        <v>#N/A</v>
      </c>
      <c r="R27">
        <f>VLOOKUP(A27,Tabla29[],2,FALSE)</f>
        <v>3.9489999999999998</v>
      </c>
      <c r="S27">
        <f>VLOOKUP(A27,Tabla29[],3,FALSE)</f>
        <v>40</v>
      </c>
      <c r="T27">
        <f>VLOOKUP(A27,Tabla18[],3,FALSE)</f>
        <v>63.1</v>
      </c>
    </row>
    <row r="28" spans="1:20" x14ac:dyDescent="0.25">
      <c r="A28" s="2" t="s">
        <v>22</v>
      </c>
      <c r="B28" t="str">
        <f>VLOOKUP(A28,Tabla1[],2,FALSE)</f>
        <v>19.533.000.000</v>
      </c>
      <c r="C28" t="str">
        <f>VLOOKUP(A28,Tabla1[],3,FALSE)</f>
        <v>−0,89%</v>
      </c>
      <c r="D28">
        <f>VLOOKUP(A28,Tabla1[],4,FALSE)</f>
        <v>7.6619999999999999</v>
      </c>
      <c r="E28">
        <f>VLOOKUP(TRIM(A28),Tabla2[],2,FALSE)</f>
        <v>641</v>
      </c>
      <c r="F28">
        <f>VLOOKUP(A28,Tabla2[],3,FALSE)</f>
        <v>1.0149999999999999</v>
      </c>
      <c r="G28" t="str">
        <f>VLOOKUP(A28,Tabla4[],3,FALSE)</f>
        <v>2.606,4</v>
      </c>
      <c r="H28">
        <f>VLOOKUP(A28,Tabla3[],3,FALSE)</f>
        <v>4.3630000000000004</v>
      </c>
      <c r="I28" t="str">
        <f>VLOOKUP(A28,Tabla16[],2,FALSE)</f>
        <v>23,38</v>
      </c>
      <c r="J28">
        <f>VLOOKUP(A28,Tabla17[],3,FALSE)</f>
        <v>1.7999999999999999E-2</v>
      </c>
      <c r="K28">
        <f>VLOOKUP(A28,Tabla17[],4,FALSE)</f>
        <v>0.27500000000000002</v>
      </c>
      <c r="L28">
        <f>VLOOKUP(A28,Tabla17[],5,FALSE)</f>
        <v>0.70599999999999996</v>
      </c>
      <c r="M28">
        <f>VLOOKUP(A28,Tabla17[],6,FALSE)</f>
        <v>702</v>
      </c>
      <c r="N28" t="str">
        <f>VLOOKUP(A28,Tabla17[],7,FALSE)</f>
        <v>10 728</v>
      </c>
      <c r="O28" t="str">
        <f>VLOOKUP(A28,Tabla17[],8,FALSE)</f>
        <v>27 541</v>
      </c>
      <c r="P28" t="e">
        <f>VLOOKUP(A28,Tabla110[],2,FALSE)</f>
        <v>#N/A</v>
      </c>
      <c r="Q28" t="e">
        <f>VLOOKUP(A28,Tabla110[],3,FALSE)</f>
        <v>#N/A</v>
      </c>
      <c r="R28">
        <f>VLOOKUP(A28,Tabla29[],2,FALSE)</f>
        <v>1.9330000000000001</v>
      </c>
      <c r="S28">
        <f>VLOOKUP(A28,Tabla29[],3,FALSE)</f>
        <v>48</v>
      </c>
      <c r="T28">
        <f>VLOOKUP(A28,Tabla18[],3,FALSE)</f>
        <v>67.7</v>
      </c>
    </row>
    <row r="29" spans="1:20" x14ac:dyDescent="0.25">
      <c r="A29" s="2" t="s">
        <v>74</v>
      </c>
      <c r="B29" t="str">
        <f>VLOOKUP(A29,Tabla1[],2,FALSE)</f>
        <v>2.279.918.000.000</v>
      </c>
      <c r="C29" t="str">
        <f>VLOOKUP(A29,Tabla1[],3,FALSE)</f>
        <v>2,29%</v>
      </c>
      <c r="D29">
        <f>VLOOKUP(A29,Tabla1[],4,FALSE)</f>
        <v>10.686</v>
      </c>
      <c r="E29">
        <f>VLOOKUP(A29,Tabla2[],2,FALSE)</f>
        <v>48.476999999999997</v>
      </c>
      <c r="F29">
        <f>VLOOKUP(A29,Tabla2[],3,FALSE)</f>
        <v>103.036</v>
      </c>
      <c r="G29" t="str">
        <f>VLOOKUP(A29,Tabla4[],3,FALSE)</f>
        <v>695.635,0</v>
      </c>
      <c r="H29" t="str">
        <f>VLOOKUP(A29,Tabla3[],3,FALSE)</f>
        <v>1.902.275</v>
      </c>
      <c r="I29" t="str">
        <f>VLOOKUP(A29,Tabla16[],2,FALSE)</f>
        <v>7,95</v>
      </c>
      <c r="J29">
        <f>VLOOKUP(A29,Tabla17[],3,FALSE)</f>
        <v>6.6000000000000003E-2</v>
      </c>
      <c r="K29">
        <f>VLOOKUP(A29,Tabla17[],4,FALSE)</f>
        <v>0.20699999999999999</v>
      </c>
      <c r="L29">
        <f>VLOOKUP(A29,Tabla17[],5,FALSE)</f>
        <v>0.72699999999999998</v>
      </c>
      <c r="M29" t="str">
        <f>VLOOKUP(A29,Tabla17[],6,FALSE)</f>
        <v>214 368</v>
      </c>
      <c r="N29" t="str">
        <f>VLOOKUP(A29,Tabla17[],7,FALSE)</f>
        <v>672 336</v>
      </c>
      <c r="O29" t="str">
        <f>VLOOKUP(A29,Tabla17[],8,FALSE)</f>
        <v>2 361 296</v>
      </c>
      <c r="P29" t="str">
        <f>VLOOKUP(A29,Tabla110[],2,FALSE)</f>
        <v> REAL</v>
      </c>
      <c r="Q29">
        <f>VLOOKUP(A29,Tabla110[],3,FALSE)</f>
        <v>6184</v>
      </c>
      <c r="R29">
        <f>VLOOKUP(A29,Tabla29[],2,FALSE)</f>
        <v>3.91</v>
      </c>
      <c r="S29">
        <f>VLOOKUP(A29,Tabla29[],3,FALSE)</f>
        <v>44</v>
      </c>
      <c r="T29">
        <f>VLOOKUP(A29,Tabla18[],3,FALSE)</f>
        <v>52.4</v>
      </c>
    </row>
    <row r="30" spans="1:20" x14ac:dyDescent="0.25">
      <c r="A30" s="2" t="s">
        <v>14</v>
      </c>
      <c r="B30" t="str">
        <f>VLOOKUP(A30,Tabla1[],2,FALSE)</f>
        <v>15.942.000.000</v>
      </c>
      <c r="C30" t="str">
        <f>VLOOKUP(A30,Tabla1[],3,FALSE)</f>
        <v>0,60%</v>
      </c>
      <c r="D30">
        <f>VLOOKUP(A30,Tabla1[],4,FALSE)</f>
        <v>34.677999999999997</v>
      </c>
      <c r="E30" t="e">
        <f>VLOOKUP(TRIM(A30),Tabla2[],2,FALSE)</f>
        <v>#N/A</v>
      </c>
      <c r="F30" t="e">
        <f>VLOOKUP(A30,Tabla2[],3,FALSE)</f>
        <v>#N/A</v>
      </c>
      <c r="G30" t="e">
        <f>VLOOKUP(A30,Tabla4[],3,FALSE)</f>
        <v>#N/A</v>
      </c>
      <c r="H30">
        <f>VLOOKUP(A30,Tabla3[],3,FALSE)</f>
        <v>352</v>
      </c>
      <c r="I30" t="e">
        <f>VLOOKUP(A30,Tabla16[],2,FALSE)</f>
        <v>#N/A</v>
      </c>
      <c r="J30">
        <f>VLOOKUP(A30,Tabla17[],3,FALSE)</f>
        <v>1.2E-2</v>
      </c>
      <c r="K30">
        <f>VLOOKUP(A30,Tabla17[],4,FALSE)</f>
        <v>0.56599999999999995</v>
      </c>
      <c r="L30">
        <f>VLOOKUP(A30,Tabla17[],5,FALSE)</f>
        <v>0.42299999999999999</v>
      </c>
      <c r="M30">
        <f>VLOOKUP(A30,Tabla17[],6,FALSE)</f>
        <v>406</v>
      </c>
      <c r="N30" t="str">
        <f>VLOOKUP(A30,Tabla17[],7,FALSE)</f>
        <v>19 170</v>
      </c>
      <c r="O30" t="str">
        <f>VLOOKUP(A30,Tabla17[],8,FALSE)</f>
        <v>14 327</v>
      </c>
      <c r="P30" t="e">
        <f>VLOOKUP(A30,Tabla110[],2,FALSE)</f>
        <v>#N/A</v>
      </c>
      <c r="Q30" t="e">
        <f>VLOOKUP(A30,Tabla110[],3,FALSE)</f>
        <v>#N/A</v>
      </c>
      <c r="R30" t="e">
        <f>VLOOKUP(A30,Tabla29[],2,FALSE)</f>
        <v>#N/A</v>
      </c>
      <c r="S30" t="e">
        <f>VLOOKUP(A30,Tabla29[],3,FALSE)</f>
        <v>#N/A</v>
      </c>
      <c r="T30">
        <f>VLOOKUP(A30,Tabla18[],3,FALSE)</f>
        <v>67.5</v>
      </c>
    </row>
    <row r="31" spans="1:20" x14ac:dyDescent="0.25">
      <c r="A31" s="1" t="s">
        <v>113</v>
      </c>
      <c r="B31" t="str">
        <f>VLOOKUP(A31,Tabla1[],2,FALSE)</f>
        <v>131.024.000.000</v>
      </c>
      <c r="C31" t="str">
        <f>VLOOKUP(A31,Tabla1[],3,FALSE)</f>
        <v>3,10%</v>
      </c>
      <c r="D31">
        <f>VLOOKUP(A31,Tabla1[],4,FALSE)</f>
        <v>20.920999999999999</v>
      </c>
      <c r="E31">
        <f>VLOOKUP(A31,Tabla2[],2,FALSE)</f>
        <v>16.626000000000001</v>
      </c>
      <c r="F31">
        <f>VLOOKUP(A31,Tabla2[],3,FALSE)</f>
        <v>8.2050000000000001</v>
      </c>
      <c r="G31" t="str">
        <f>VLOOKUP(A31,Tabla4[],3,FALSE)</f>
        <v>34.519,3</v>
      </c>
      <c r="H31">
        <f>VLOOKUP(A31,Tabla3[],3,FALSE)</f>
        <v>27.024000000000001</v>
      </c>
      <c r="I31">
        <f>VLOOKUP(A31,Tabla16[],2,FALSE)</f>
        <v>4.3</v>
      </c>
      <c r="J31">
        <f>VLOOKUP(A31,Tabla17[],3,FALSE)</f>
        <v>4.2999999999999997E-2</v>
      </c>
      <c r="K31">
        <f>VLOOKUP(A31,Tabla17[],4,FALSE)</f>
        <v>0.28000000000000003</v>
      </c>
      <c r="L31">
        <f>VLOOKUP(A31,Tabla17[],5,FALSE)</f>
        <v>0.67400000000000004</v>
      </c>
      <c r="M31">
        <f>VLOOKUP(A31,Tabla17[],6,FALSE)</f>
        <v>6601</v>
      </c>
      <c r="N31" t="str">
        <f>VLOOKUP(A31,Tabla17[],7,FALSE)</f>
        <v>42 980</v>
      </c>
      <c r="O31" t="str">
        <f>VLOOKUP(A31,Tabla17[],8,FALSE)</f>
        <v>103 459</v>
      </c>
      <c r="P31" t="str">
        <f>VLOOKUP(A31,Tabla110[],2,FALSE)</f>
        <v> LEV BÚLGARO</v>
      </c>
      <c r="Q31">
        <f>VLOOKUP(A31,Tabla110[],3,FALSE)</f>
        <v>18809</v>
      </c>
      <c r="R31">
        <f>VLOOKUP(A31,Tabla29[],2,FALSE)</f>
        <v>8.1809999999999992</v>
      </c>
      <c r="S31">
        <f>VLOOKUP(A31,Tabla29[],3,FALSE)</f>
        <v>40</v>
      </c>
      <c r="T31">
        <f>VLOOKUP(A31,Tabla18[],3,FALSE)</f>
        <v>68.900000000000006</v>
      </c>
    </row>
    <row r="32" spans="1:20" x14ac:dyDescent="0.25">
      <c r="A32" s="2" t="s">
        <v>172</v>
      </c>
      <c r="B32" t="str">
        <f>VLOOKUP(A32,Tabla1[],2,FALSE)</f>
        <v>27.140.000.000</v>
      </c>
      <c r="C32" t="str">
        <f>VLOOKUP(A32,Tabla1[],3,FALSE)</f>
        <v>5,00%</v>
      </c>
      <c r="D32">
        <f>VLOOKUP(A32,Tabla1[],4,FALSE)</f>
        <v>1.1259999999999999</v>
      </c>
      <c r="E32">
        <f>VLOOKUP(A32,Tabla2[],2,FALSE)</f>
        <v>621</v>
      </c>
      <c r="F32">
        <f>VLOOKUP(A32,Tabla2[],3,FALSE)</f>
        <v>1.45</v>
      </c>
      <c r="G32" t="str">
        <f>VLOOKUP(A32,Tabla4[],3,FALSE)</f>
        <v>4.129,8</v>
      </c>
      <c r="H32">
        <f>VLOOKUP(A32,Tabla3[],3,FALSE)</f>
        <v>13.241</v>
      </c>
      <c r="I32">
        <f>VLOOKUP(A32,Tabla16[],2,FALSE)</f>
        <v>5.29</v>
      </c>
      <c r="J32">
        <f>VLOOKUP(A32,Tabla17[],3,FALSE)</f>
        <v>0.31</v>
      </c>
      <c r="K32">
        <f>VLOOKUP(A32,Tabla17[],4,FALSE)</f>
        <v>0.23899999999999999</v>
      </c>
      <c r="L32">
        <f>VLOOKUP(A32,Tabla17[],5,FALSE)</f>
        <v>0.44900000000000001</v>
      </c>
      <c r="M32" t="str">
        <f>VLOOKUP(A32,Tabla17[],6,FALSE)</f>
        <v>11 114</v>
      </c>
      <c r="N32">
        <f>VLOOKUP(A32,Tabla17[],7,FALSE)</f>
        <v>8568</v>
      </c>
      <c r="O32" t="str">
        <f>VLOOKUP(A32,Tabla17[],8,FALSE)</f>
        <v>16 097</v>
      </c>
      <c r="P32" t="e">
        <f>VLOOKUP(A32,Tabla110[],2,FALSE)</f>
        <v>#N/A</v>
      </c>
      <c r="Q32" t="e">
        <f>VLOOKUP(A32,Tabla110[],3,FALSE)</f>
        <v>#N/A</v>
      </c>
      <c r="R32">
        <f>VLOOKUP(A32,Tabla29[],2,FALSE)</f>
        <v>750</v>
      </c>
      <c r="S32">
        <f>VLOOKUP(A32,Tabla29[],3,FALSE)</f>
        <v>40</v>
      </c>
      <c r="T32">
        <f>VLOOKUP(A32,Tabla18[],3,FALSE)</f>
        <v>49.1</v>
      </c>
    </row>
    <row r="33" spans="1:20" x14ac:dyDescent="0.25">
      <c r="A33" s="2" t="s">
        <v>140</v>
      </c>
      <c r="B33" t="str">
        <f>VLOOKUP(A33,Tabla1[],2,FALSE)</f>
        <v>6.918.000.000</v>
      </c>
      <c r="C33" t="str">
        <f>VLOOKUP(A33,Tabla1[],3,FALSE)</f>
        <v>3,90%</v>
      </c>
      <c r="D33">
        <f>VLOOKUP(A33,Tabla1[],4,FALSE)</f>
        <v>478</v>
      </c>
      <c r="E33">
        <f>VLOOKUP(A33,Tabla2[],2,FALSE)</f>
        <v>119</v>
      </c>
      <c r="F33">
        <f>VLOOKUP(A33,Tabla2[],3,FALSE)</f>
        <v>365</v>
      </c>
      <c r="G33" t="e">
        <f>VLOOKUP(A33,Tabla4[],3,FALSE)</f>
        <v>#N/A</v>
      </c>
      <c r="H33">
        <f>VLOOKUP(A33,Tabla3[],3,FALSE)</f>
        <v>2.5110000000000001</v>
      </c>
      <c r="I33" t="str">
        <f>VLOOKUP(A33,Tabla16[],2,FALSE)</f>
        <v>0,93</v>
      </c>
      <c r="J33">
        <f>VLOOKUP(A33,Tabla17[],3,FALSE)</f>
        <v>0.39500000000000002</v>
      </c>
      <c r="K33">
        <f>VLOOKUP(A33,Tabla17[],4,FALSE)</f>
        <v>0.16400000000000001</v>
      </c>
      <c r="L33">
        <f>VLOOKUP(A33,Tabla17[],5,FALSE)</f>
        <v>0.442</v>
      </c>
      <c r="M33">
        <f>VLOOKUP(A33,Tabla17[],6,FALSE)</f>
        <v>3163</v>
      </c>
      <c r="N33">
        <f>VLOOKUP(A33,Tabla17[],7,FALSE)</f>
        <v>1313</v>
      </c>
      <c r="O33">
        <f>VLOOKUP(A33,Tabla17[],8,FALSE)</f>
        <v>3539</v>
      </c>
      <c r="P33" t="str">
        <f>VLOOKUP(A33,Tabla110[],2,FALSE)</f>
        <v> FRANCO DE BURUNDI</v>
      </c>
      <c r="Q33">
        <f>VLOOKUP(A33,Tabla110[],3,FALSE)</f>
        <v>2914</v>
      </c>
      <c r="R33">
        <f>VLOOKUP(A33,Tabla29[],2,FALSE)</f>
        <v>0</v>
      </c>
      <c r="S33">
        <f>VLOOKUP(A33,Tabla29[],3,FALSE)</f>
        <v>40</v>
      </c>
      <c r="T33">
        <f>VLOOKUP(A33,Tabla18[],3,FALSE)</f>
        <v>40.200000000000003</v>
      </c>
    </row>
    <row r="34" spans="1:20" x14ac:dyDescent="0.25">
      <c r="A34" s="2" t="s">
        <v>206</v>
      </c>
      <c r="B34" t="str">
        <f>VLOOKUP(A34,Tabla1[],2,FALSE)</f>
        <v>3.474.000.000</v>
      </c>
      <c r="C34" t="str">
        <f>VLOOKUP(A34,Tabla1[],3,FALSE)</f>
        <v>7,12%</v>
      </c>
      <c r="D34">
        <f>VLOOKUP(A34,Tabla1[],4,FALSE)</f>
        <v>4.3940000000000001</v>
      </c>
      <c r="E34">
        <f>VLOOKUP(A34,Tabla2[],2,FALSE)</f>
        <v>127</v>
      </c>
      <c r="F34">
        <f>VLOOKUP(A34,Tabla2[],3,FALSE)</f>
        <v>323</v>
      </c>
      <c r="G34" t="str">
        <f>VLOOKUP(A34,Tabla4[],3,FALSE)</f>
        <v>370,0</v>
      </c>
      <c r="H34">
        <f>VLOOKUP(A34,Tabla3[],3,FALSE)</f>
        <v>3.3319999999999999</v>
      </c>
      <c r="I34" t="str">
        <f>VLOOKUP(A34,Tabla16[],2,FALSE)</f>
        <v>5,65</v>
      </c>
      <c r="J34">
        <f>VLOOKUP(A34,Tabla17[],3,FALSE)</f>
        <v>0.16200000000000001</v>
      </c>
      <c r="K34">
        <f>VLOOKUP(A34,Tabla17[],4,FALSE)</f>
        <v>0.41799999999999998</v>
      </c>
      <c r="L34">
        <f>VLOOKUP(A34,Tabla17[],5,FALSE)</f>
        <v>0.42</v>
      </c>
      <c r="M34">
        <f>VLOOKUP(A34,Tabla17[],6,FALSE)</f>
        <v>1167</v>
      </c>
      <c r="N34">
        <f>VLOOKUP(A34,Tabla17[],7,FALSE)</f>
        <v>3012</v>
      </c>
      <c r="O34">
        <f>VLOOKUP(A34,Tabla17[],8,FALSE)</f>
        <v>3026</v>
      </c>
      <c r="P34" t="e">
        <f>VLOOKUP(A34,Tabla110[],2,FALSE)</f>
        <v>#N/A</v>
      </c>
      <c r="Q34" t="e">
        <f>VLOOKUP(A34,Tabla110[],3,FALSE)</f>
        <v>#N/A</v>
      </c>
      <c r="R34">
        <f>VLOOKUP(A34,Tabla29[],2,FALSE)</f>
        <v>609</v>
      </c>
      <c r="S34">
        <f>VLOOKUP(A34,Tabla29[],3,FALSE)</f>
        <v>40</v>
      </c>
      <c r="T34">
        <f>VLOOKUP(A34,Tabla18[],3,FALSE)</f>
        <v>57.5</v>
      </c>
    </row>
    <row r="35" spans="1:20" x14ac:dyDescent="0.25">
      <c r="A35" s="2" t="s">
        <v>184</v>
      </c>
      <c r="B35" t="str">
        <f>VLOOKUP(A35,Tabla1[],2,FALSE)</f>
        <v>3.081.000.000</v>
      </c>
      <c r="C35" t="str">
        <f>VLOOKUP(A35,Tabla1[],3,FALSE)</f>
        <v>5,51%</v>
      </c>
      <c r="D35">
        <f>VLOOKUP(A35,Tabla1[],4,FALSE)</f>
        <v>5.9950000000000001</v>
      </c>
      <c r="E35">
        <f>VLOOKUP(A35,Tabla2[],2,FALSE)</f>
        <v>716</v>
      </c>
      <c r="F35">
        <f>VLOOKUP(A35,Tabla2[],3,FALSE)</f>
        <v>278</v>
      </c>
      <c r="G35" t="str">
        <f>VLOOKUP(A35,Tabla4[],3,FALSE)</f>
        <v>483,7</v>
      </c>
      <c r="H35">
        <f>VLOOKUP(A35,Tabla3[],3,FALSE)</f>
        <v>3.032</v>
      </c>
      <c r="I35" t="str">
        <f>VLOOKUP(A35,Tabla16[],2,FALSE)</f>
        <v>11,99</v>
      </c>
      <c r="J35">
        <f>VLOOKUP(A35,Tabla17[],3,FALSE)</f>
        <v>8.8999999999999996E-2</v>
      </c>
      <c r="K35">
        <f>VLOOKUP(A35,Tabla17[],4,FALSE)</f>
        <v>0.17499999999999999</v>
      </c>
      <c r="L35">
        <f>VLOOKUP(A35,Tabla17[],5,FALSE)</f>
        <v>0.73699999999999999</v>
      </c>
      <c r="M35">
        <f>VLOOKUP(A35,Tabla17[],6,FALSE)</f>
        <v>336</v>
      </c>
      <c r="N35">
        <f>VLOOKUP(A35,Tabla17[],7,FALSE)</f>
        <v>661</v>
      </c>
      <c r="O35">
        <f>VLOOKUP(A35,Tabla17[],8,FALSE)</f>
        <v>2784</v>
      </c>
      <c r="P35" t="str">
        <f>VLOOKUP(A35,Tabla110[],2,FALSE)</f>
        <v> ESCUDO CABOVERDIANO</v>
      </c>
      <c r="Q35" t="str">
        <f>VLOOKUP(A35,Tabla110[],3,FALSE)</f>
        <v>106,01</v>
      </c>
      <c r="R35">
        <f>VLOOKUP(A35,Tabla29[],2,FALSE)</f>
        <v>1.673</v>
      </c>
      <c r="S35">
        <f>VLOOKUP(A35,Tabla29[],3,FALSE)</f>
        <v>44</v>
      </c>
      <c r="T35">
        <f>VLOOKUP(A35,Tabla18[],3,FALSE)</f>
        <v>71.400000000000006</v>
      </c>
    </row>
    <row r="36" spans="1:20" x14ac:dyDescent="0.25">
      <c r="A36" s="1" t="s">
        <v>173</v>
      </c>
      <c r="B36" t="str">
        <f>VLOOKUP(A36,Tabla1[],2,FALSE)</f>
        <v>49.288.000.000</v>
      </c>
      <c r="C36" t="str">
        <f>VLOOKUP(A36,Tabla1[],3,FALSE)</f>
        <v>5,01%</v>
      </c>
      <c r="D36">
        <f>VLOOKUP(A36,Tabla1[],4,FALSE)</f>
        <v>2.762</v>
      </c>
      <c r="E36">
        <f>VLOOKUP(A36,Tabla2[],2,FALSE)</f>
        <v>4.1879999999999997</v>
      </c>
      <c r="F36">
        <f>VLOOKUP(A36,Tabla2[],3,FALSE)</f>
        <v>2.87</v>
      </c>
      <c r="G36" t="str">
        <f>VLOOKUP(A36,Tabla4[],3,FALSE)</f>
        <v>5.647,2</v>
      </c>
      <c r="H36">
        <f>VLOOKUP(A36,Tabla3[],3,FALSE)</f>
        <v>11.938000000000001</v>
      </c>
      <c r="I36" t="str">
        <f>VLOOKUP(A36,Tabla16[],2,FALSE)</f>
        <v>0,24</v>
      </c>
      <c r="J36">
        <f>VLOOKUP(A36,Tabla17[],3,FALSE)</f>
        <v>0.253</v>
      </c>
      <c r="K36">
        <f>VLOOKUP(A36,Tabla17[],4,FALSE)</f>
        <v>0.32800000000000001</v>
      </c>
      <c r="L36">
        <f>VLOOKUP(A36,Tabla17[],5,FALSE)</f>
        <v>0.41899999999999998</v>
      </c>
      <c r="M36" t="str">
        <f>VLOOKUP(A36,Tabla17[],6,FALSE)</f>
        <v>16 245</v>
      </c>
      <c r="N36" t="str">
        <f>VLOOKUP(A36,Tabla17[],7,FALSE)</f>
        <v>21 061</v>
      </c>
      <c r="O36" t="str">
        <f>VLOOKUP(A36,Tabla17[],8,FALSE)</f>
        <v>26 904</v>
      </c>
      <c r="P36" t="str">
        <f>VLOOKUP(A36,Tabla110[],2,FALSE)</f>
        <v> RIEL DE CAMBOYA</v>
      </c>
      <c r="Q36">
        <f>VLOOKUP(A36,Tabla110[],3,FALSE)</f>
        <v>4016</v>
      </c>
      <c r="R36">
        <f>VLOOKUP(A36,Tabla29[],2,FALSE)</f>
        <v>0</v>
      </c>
      <c r="S36">
        <f>VLOOKUP(A36,Tabla29[],3,FALSE)</f>
        <v>48</v>
      </c>
      <c r="T36">
        <f>VLOOKUP(A36,Tabla18[],3,FALSE)</f>
        <v>58.7</v>
      </c>
    </row>
    <row r="37" spans="1:20" x14ac:dyDescent="0.25">
      <c r="A37" s="1" t="s">
        <v>111</v>
      </c>
      <c r="B37" t="str">
        <f>VLOOKUP(A37,Tabla1[],2,FALSE)</f>
        <v>59.282.000.000</v>
      </c>
      <c r="C37" t="str">
        <f>VLOOKUP(A37,Tabla1[],3,FALSE)</f>
        <v>3,07%</v>
      </c>
      <c r="D37">
        <f>VLOOKUP(A37,Tabla1[],4,FALSE)</f>
        <v>1.984</v>
      </c>
      <c r="E37">
        <f>VLOOKUP(A37,Tabla2[],2,FALSE)</f>
        <v>2.008</v>
      </c>
      <c r="F37">
        <f>VLOOKUP(A37,Tabla2[],3,FALSE)</f>
        <v>2.5539999999999998</v>
      </c>
      <c r="G37" t="str">
        <f>VLOOKUP(A37,Tabla4[],3,FALSE)</f>
        <v>7.672,3</v>
      </c>
      <c r="H37">
        <f>VLOOKUP(A37,Tabla3[],3,FALSE)</f>
        <v>23.297000000000001</v>
      </c>
      <c r="I37" t="str">
        <f>VLOOKUP(A37,Tabla16[],2,FALSE)</f>
        <v>3,65</v>
      </c>
      <c r="J37">
        <f>VLOOKUP(A37,Tabla17[],3,FALSE)</f>
        <v>0.16700000000000001</v>
      </c>
      <c r="K37">
        <f>VLOOKUP(A37,Tabla17[],4,FALSE)</f>
        <v>0.26500000000000001</v>
      </c>
      <c r="L37">
        <f>VLOOKUP(A37,Tabla17[],5,FALSE)</f>
        <v>0.56799999999999995</v>
      </c>
      <c r="M37" t="str">
        <f>VLOOKUP(A37,Tabla17[],6,FALSE)</f>
        <v>14 953</v>
      </c>
      <c r="N37" t="str">
        <f>VLOOKUP(A37,Tabla17[],7,FALSE)</f>
        <v>23 728</v>
      </c>
      <c r="O37" t="str">
        <f>VLOOKUP(A37,Tabla17[],8,FALSE)</f>
        <v>50 859</v>
      </c>
      <c r="P37" t="e">
        <f>VLOOKUP(A37,Tabla110[],2,FALSE)</f>
        <v>#N/A</v>
      </c>
      <c r="Q37" t="e">
        <f>VLOOKUP(A37,Tabla110[],3,FALSE)</f>
        <v>#N/A</v>
      </c>
      <c r="R37">
        <f>VLOOKUP(A37,Tabla29[],2,FALSE)</f>
        <v>785</v>
      </c>
      <c r="S37">
        <f>VLOOKUP(A37,Tabla29[],3,FALSE)</f>
        <v>40</v>
      </c>
      <c r="T37">
        <f>VLOOKUP(A37,Tabla18[],3,FALSE)</f>
        <v>52</v>
      </c>
    </row>
    <row r="38" spans="1:20" x14ac:dyDescent="0.25">
      <c r="A38" s="2" t="s">
        <v>48</v>
      </c>
      <c r="B38" t="str">
        <f>VLOOKUP(A38,Tabla1[],2,FALSE)</f>
        <v>2.319.900.000.000</v>
      </c>
      <c r="C38" t="str">
        <f>VLOOKUP(A38,Tabla1[],3,FALSE)</f>
        <v>1,74%</v>
      </c>
      <c r="D38">
        <f>VLOOKUP(A38,Tabla1[],4,FALSE)</f>
        <v>55.765000000000001</v>
      </c>
      <c r="E38">
        <f>VLOOKUP(A38,Tabla2[],2,FALSE)</f>
        <v>159.07499999999999</v>
      </c>
      <c r="F38">
        <f>VLOOKUP(A38,Tabla2[],3,FALSE)</f>
        <v>160.06100000000001</v>
      </c>
      <c r="G38" t="str">
        <f>VLOOKUP(A38,Tabla4[],3,FALSE)</f>
        <v>783.131,7</v>
      </c>
      <c r="H38" t="str">
        <f>VLOOKUP(A38,Tabla3[],3,FALSE)</f>
        <v>2.497.217</v>
      </c>
      <c r="I38">
        <f>VLOOKUP(A38,Tabla16[],2,FALSE)</f>
        <v>5.37</v>
      </c>
      <c r="J38">
        <f>VLOOKUP(A38,Tabla17[],3,FALSE)</f>
        <v>1.6E-2</v>
      </c>
      <c r="K38">
        <f>VLOOKUP(A38,Tabla17[],4,FALSE)</f>
        <v>0.28199999999999997</v>
      </c>
      <c r="L38">
        <f>VLOOKUP(A38,Tabla17[],5,FALSE)</f>
        <v>0.70199999999999996</v>
      </c>
      <c r="M38" t="str">
        <f>VLOOKUP(A38,Tabla17[],6,FALSE)</f>
        <v>28 384</v>
      </c>
      <c r="N38" t="str">
        <f>VLOOKUP(A38,Tabla17[],7,FALSE)</f>
        <v>500 268</v>
      </c>
      <c r="O38" t="str">
        <f>VLOOKUP(A38,Tabla17[],8,FALSE)</f>
        <v>1 245 348</v>
      </c>
      <c r="P38" t="e">
        <f>VLOOKUP(A38,Tabla110[],2,FALSE)</f>
        <v>#N/A</v>
      </c>
      <c r="Q38" t="e">
        <f>VLOOKUP(A38,Tabla110[],3,FALSE)</f>
        <v>#N/A</v>
      </c>
      <c r="R38">
        <f>VLOOKUP(A38,Tabla29[],2,FALSE)</f>
        <v>24.128</v>
      </c>
      <c r="S38">
        <f>VLOOKUP(A38,Tabla29[],3,FALSE)</f>
        <v>40</v>
      </c>
      <c r="T38">
        <f>VLOOKUP(A38,Tabla18[],3,FALSE)</f>
        <v>75.599999999999994</v>
      </c>
    </row>
    <row r="39" spans="1:20" x14ac:dyDescent="0.25">
      <c r="A39" s="1" t="s">
        <v>97</v>
      </c>
      <c r="B39" t="str">
        <f>VLOOKUP(A39,Tabla1[],2,FALSE)</f>
        <v>221.229.000.000</v>
      </c>
      <c r="C39" t="str">
        <f>VLOOKUP(A39,Tabla1[],3,FALSE)</f>
        <v>2,80%</v>
      </c>
      <c r="D39">
        <f>VLOOKUP(A39,Tabla1[],4,FALSE)</f>
        <v>69.680000000000007</v>
      </c>
      <c r="E39" t="e">
        <f>VLOOKUP(A39,Tabla2[],2,FALSE)</f>
        <v>#N/A</v>
      </c>
      <c r="F39" t="e">
        <f>VLOOKUP(A39,Tabla2[],3,FALSE)</f>
        <v>#N/A</v>
      </c>
      <c r="G39" t="e">
        <f>VLOOKUP(A39,Tabla4[],3,FALSE)</f>
        <v>#N/A</v>
      </c>
      <c r="H39">
        <f>VLOOKUP(A39,Tabla3[],3,FALSE)</f>
        <v>93.022000000000006</v>
      </c>
      <c r="I39" t="e">
        <f>VLOOKUP(A39,Tabla16[],2,FALSE)</f>
        <v>#N/A</v>
      </c>
      <c r="J39">
        <f>VLOOKUP(A39,Tabla17[],3,FALSE)</f>
        <v>2E-3</v>
      </c>
      <c r="K39">
        <f>VLOOKUP(A39,Tabla17[],4,FALSE)</f>
        <v>0.503</v>
      </c>
      <c r="L39">
        <f>VLOOKUP(A39,Tabla17[],5,FALSE)</f>
        <v>0.495</v>
      </c>
      <c r="M39">
        <f>VLOOKUP(A39,Tabla17[],6,FALSE)</f>
        <v>679</v>
      </c>
      <c r="N39" t="str">
        <f>VLOOKUP(A39,Tabla17[],7,FALSE)</f>
        <v>170 769</v>
      </c>
      <c r="O39" t="str">
        <f>VLOOKUP(A39,Tabla17[],8,FALSE)</f>
        <v>168 053</v>
      </c>
      <c r="P39" t="e">
        <f>VLOOKUP(A39,Tabla110[],2,FALSE)</f>
        <v>#N/A</v>
      </c>
      <c r="Q39" t="e">
        <f>VLOOKUP(A39,Tabla110[],3,FALSE)</f>
        <v>#N/A</v>
      </c>
      <c r="R39" t="e">
        <f>VLOOKUP(A39,Tabla29[],2,FALSE)</f>
        <v>#N/A</v>
      </c>
      <c r="S39" t="e">
        <f>VLOOKUP(A39,Tabla29[],3,FALSE)</f>
        <v>#N/A</v>
      </c>
      <c r="T39">
        <f>VLOOKUP(A39,Tabla18[],3,FALSE)</f>
        <v>70.2</v>
      </c>
    </row>
    <row r="40" spans="1:20" x14ac:dyDescent="0.25">
      <c r="A40" s="2" t="s">
        <v>186</v>
      </c>
      <c r="B40" t="str">
        <f>VLOOKUP(A40,Tabla1[],2,FALSE)</f>
        <v>22.092.000.000</v>
      </c>
      <c r="C40" t="str">
        <f>VLOOKUP(A40,Tabla1[],3,FALSE)</f>
        <v>5,61%</v>
      </c>
      <c r="D40">
        <f>VLOOKUP(A40,Tabla1[],4,FALSE)</f>
        <v>1.165</v>
      </c>
      <c r="E40">
        <f>VLOOKUP(A40,Tabla2[],2,FALSE)</f>
        <v>340</v>
      </c>
      <c r="F40">
        <f>VLOOKUP(A40,Tabla2[],3,FALSE)</f>
        <v>199</v>
      </c>
      <c r="G40" t="str">
        <f>VLOOKUP(A40,Tabla4[],3,FALSE)</f>
        <v>1.760,8</v>
      </c>
      <c r="H40">
        <f>VLOOKUP(A40,Tabla3[],3,FALSE)</f>
        <v>6.4779999999999998</v>
      </c>
      <c r="I40">
        <f>VLOOKUP(A40,Tabla16[],2,FALSE)</f>
        <v>1.08</v>
      </c>
      <c r="J40">
        <f>VLOOKUP(A40,Tabla17[],3,FALSE)</f>
        <v>0.52300000000000002</v>
      </c>
      <c r="K40">
        <f>VLOOKUP(A40,Tabla17[],4,FALSE)</f>
        <v>0.14699999999999999</v>
      </c>
      <c r="L40">
        <f>VLOOKUP(A40,Tabla17[],5,FALSE)</f>
        <v>0.33100000000000002</v>
      </c>
      <c r="M40" t="str">
        <f>VLOOKUP(A40,Tabla17[],6,FALSE)</f>
        <v>14 968</v>
      </c>
      <c r="N40">
        <f>VLOOKUP(A40,Tabla17[],7,FALSE)</f>
        <v>4207</v>
      </c>
      <c r="O40">
        <f>VLOOKUP(A40,Tabla17[],8,FALSE)</f>
        <v>9473</v>
      </c>
      <c r="P40" t="e">
        <f>VLOOKUP(A40,Tabla110[],2,FALSE)</f>
        <v>#N/A</v>
      </c>
      <c r="Q40" t="e">
        <f>VLOOKUP(A40,Tabla110[],3,FALSE)</f>
        <v>#N/A</v>
      </c>
      <c r="R40">
        <f>VLOOKUP(A40,Tabla29[],2,FALSE)</f>
        <v>1.298</v>
      </c>
      <c r="S40">
        <f>VLOOKUP(A40,Tabla29[],3,FALSE)</f>
        <v>39</v>
      </c>
      <c r="T40">
        <f>VLOOKUP(A40,Tabla18[],3,FALSE)</f>
        <v>51.2</v>
      </c>
    </row>
    <row r="41" spans="1:20" x14ac:dyDescent="0.25">
      <c r="A41" s="1" t="s">
        <v>75</v>
      </c>
      <c r="B41" t="str">
        <f>VLOOKUP(A41,Tabla1[],2,FALSE)</f>
        <v>355.346.000.000</v>
      </c>
      <c r="C41" t="str">
        <f>VLOOKUP(A41,Tabla1[],3,FALSE)</f>
        <v>2,29%</v>
      </c>
      <c r="D41">
        <f>VLOOKUP(A41,Tabla1[],4,FALSE)</f>
        <v>17.734999999999999</v>
      </c>
      <c r="E41">
        <f>VLOOKUP(A41,Tabla2[],2,FALSE)</f>
        <v>11.957000000000001</v>
      </c>
      <c r="F41">
        <f>VLOOKUP(A41,Tabla2[],3,FALSE)</f>
        <v>21.106000000000002</v>
      </c>
      <c r="G41" t="str">
        <f>VLOOKUP(A41,Tabla4[],3,FALSE)</f>
        <v>67.636,9</v>
      </c>
      <c r="H41">
        <f>VLOOKUP(A41,Tabla3[],3,FALSE)</f>
        <v>137.53299999999999</v>
      </c>
      <c r="I41">
        <f>VLOOKUP(A41,Tabla16[],2,FALSE)</f>
        <v>9.0399999999999991</v>
      </c>
      <c r="J41">
        <f>VLOOKUP(A41,Tabla17[],3,FALSE)</f>
        <v>4.2000000000000003E-2</v>
      </c>
      <c r="K41">
        <f>VLOOKUP(A41,Tabla17[],4,FALSE)</f>
        <v>0.32800000000000001</v>
      </c>
      <c r="L41">
        <f>VLOOKUP(A41,Tabla17[],5,FALSE)</f>
        <v>0.63</v>
      </c>
      <c r="M41" t="str">
        <f>VLOOKUP(A41,Tabla17[],6,FALSE)</f>
        <v>18 988</v>
      </c>
      <c r="N41" t="str">
        <f>VLOOKUP(A41,Tabla17[],7,FALSE)</f>
        <v>148 289</v>
      </c>
      <c r="O41" t="str">
        <f>VLOOKUP(A41,Tabla17[],8,FALSE)</f>
        <v>284 823</v>
      </c>
      <c r="P41" t="str">
        <f>VLOOKUP(A41,Tabla110[],2,FALSE)</f>
        <v> PESO CHILENO</v>
      </c>
      <c r="Q41" t="str">
        <f>VLOOKUP(A41,Tabla110[],3,FALSE)</f>
        <v>990,52</v>
      </c>
      <c r="R41">
        <f>VLOOKUP(A41,Tabla29[],2,FALSE)</f>
        <v>8.3640000000000008</v>
      </c>
      <c r="S41">
        <f>VLOOKUP(A41,Tabla29[],3,FALSE)</f>
        <v>44</v>
      </c>
      <c r="T41">
        <f>VLOOKUP(A41,Tabla18[],3,FALSE)</f>
        <v>74.3</v>
      </c>
    </row>
    <row r="42" spans="1:20" x14ac:dyDescent="0.25">
      <c r="A42" s="2" t="s">
        <v>170</v>
      </c>
      <c r="B42" t="str">
        <f>VLOOKUP(A42,Tabla1[],2,FALSE)</f>
        <v>19.626.247.000.000</v>
      </c>
      <c r="C42" t="str">
        <f>VLOOKUP(A42,Tabla1[],3,FALSE)</f>
        <v>4,96%</v>
      </c>
      <c r="D42">
        <f>VLOOKUP(A42,Tabla1[],4,FALSE)</f>
        <v>13.968</v>
      </c>
      <c r="E42">
        <f>VLOOKUP(A42,Tabla2[],2,FALSE)</f>
        <v>383.96</v>
      </c>
      <c r="F42">
        <f>VLOOKUP(A42,Tabla2[],3,FALSE)</f>
        <v>612.97799999999995</v>
      </c>
      <c r="G42" t="str">
        <f>VLOOKUP(A42,Tabla4[],3,FALSE)</f>
        <v>3.733.816,7</v>
      </c>
      <c r="H42" t="str">
        <f>VLOOKUP(A42,Tabla3[],3,FALSE)</f>
        <v>16.559.622</v>
      </c>
      <c r="I42">
        <f>VLOOKUP(A42,Tabla16[],2,FALSE)</f>
        <v>4.67</v>
      </c>
      <c r="J42">
        <f>VLOOKUP(A42,Tabla17[],3,FALSE)</f>
        <v>7.9000000000000001E-2</v>
      </c>
      <c r="K42">
        <f>VLOOKUP(A42,Tabla17[],4,FALSE)</f>
        <v>0.40500000000000003</v>
      </c>
      <c r="L42">
        <f>VLOOKUP(A42,Tabla17[],5,FALSE)</f>
        <v>0.51600000000000001</v>
      </c>
      <c r="M42" t="str">
        <f>VLOOKUP(A42,Tabla17[],6,FALSE)</f>
        <v>1 833 590</v>
      </c>
      <c r="N42" t="str">
        <f>VLOOKUP(A42,Tabla17[],7,FALSE)</f>
        <v>9 400 050</v>
      </c>
      <c r="O42" t="str">
        <f>VLOOKUP(A42,Tabla17[],8,FALSE)</f>
        <v>11 976 360</v>
      </c>
      <c r="P42" t="str">
        <f>VLOOKUP(A42,Tabla110[],2,FALSE)</f>
        <v> YUAN CHINO</v>
      </c>
      <c r="Q42">
        <f>VLOOKUP(A42,Tabla110[],3,FALSE)</f>
        <v>72986</v>
      </c>
      <c r="R42">
        <f>VLOOKUP(A42,Tabla29[],2,FALSE)</f>
        <v>3.0139999999999998</v>
      </c>
      <c r="S42">
        <f>VLOOKUP(A42,Tabla29[],3,FALSE)</f>
        <v>40</v>
      </c>
      <c r="T42">
        <f>VLOOKUP(A42,Tabla18[],3,FALSE)</f>
        <v>48.3</v>
      </c>
    </row>
    <row r="43" spans="1:20" x14ac:dyDescent="0.25">
      <c r="A43" s="2" t="s">
        <v>136</v>
      </c>
      <c r="B43" t="str">
        <f>VLOOKUP(A43,Tabla1[],2,FALSE)</f>
        <v>41.019.000.000</v>
      </c>
      <c r="C43" t="str">
        <f>VLOOKUP(A43,Tabla1[],3,FALSE)</f>
        <v>3,77%</v>
      </c>
      <c r="D43">
        <f>VLOOKUP(A43,Tabla1[],4,FALSE)</f>
        <v>41.73</v>
      </c>
      <c r="E43">
        <f>VLOOKUP(A43,Tabla2[],2,FALSE)</f>
        <v>30.725000000000001</v>
      </c>
      <c r="F43">
        <f>VLOOKUP(A43,Tabla2[],3,FALSE)</f>
        <v>22.003</v>
      </c>
      <c r="G43">
        <f>VLOOKUP(A43,Tabla4[],3,FALSE)</f>
        <v>0</v>
      </c>
      <c r="H43">
        <f>VLOOKUP(A43,Tabla3[],3,FALSE)</f>
        <v>23.64</v>
      </c>
      <c r="I43" t="str">
        <f>VLOOKUP(A43,Tabla16[],2,FALSE)</f>
        <v>5,96</v>
      </c>
      <c r="J43">
        <f>VLOOKUP(A43,Tabla17[],3,FALSE)</f>
        <v>0.02</v>
      </c>
      <c r="K43">
        <f>VLOOKUP(A43,Tabla17[],4,FALSE)</f>
        <v>0.125</v>
      </c>
      <c r="L43">
        <f>VLOOKUP(A43,Tabla17[],5,FALSE)</f>
        <v>0.85499999999999998</v>
      </c>
      <c r="M43">
        <f>VLOOKUP(A43,Tabla17[],6,FALSE)</f>
        <v>636</v>
      </c>
      <c r="N43">
        <f>VLOOKUP(A43,Tabla17[],7,FALSE)</f>
        <v>3973</v>
      </c>
      <c r="O43" t="str">
        <f>VLOOKUP(A43,Tabla17[],8,FALSE)</f>
        <v>27 172</v>
      </c>
      <c r="P43" t="e">
        <f>VLOOKUP(A43,Tabla110[],2,FALSE)</f>
        <v>#N/A</v>
      </c>
      <c r="Q43" t="e">
        <f>VLOOKUP(A43,Tabla110[],3,FALSE)</f>
        <v>#N/A</v>
      </c>
      <c r="R43">
        <f>VLOOKUP(A43,Tabla29[],2,FALSE)</f>
        <v>0</v>
      </c>
      <c r="S43">
        <f>VLOOKUP(A43,Tabla29[],3,FALSE)</f>
        <v>48</v>
      </c>
      <c r="T43">
        <f>VLOOKUP(A43,Tabla18[],3,FALSE)</f>
        <v>74.099999999999994</v>
      </c>
    </row>
    <row r="44" spans="1:20" x14ac:dyDescent="0.25">
      <c r="A44" s="1" t="s">
        <v>87</v>
      </c>
      <c r="B44" t="str">
        <f>VLOOKUP(A44,Tabla1[],2,FALSE)</f>
        <v>457.410.000.000</v>
      </c>
      <c r="C44" t="str">
        <f>VLOOKUP(A44,Tabla1[],3,FALSE)</f>
        <v>2,64%</v>
      </c>
      <c r="D44">
        <f>VLOOKUP(A44,Tabla1[],4,FALSE)</f>
        <v>8.6229999999999993</v>
      </c>
      <c r="E44">
        <f>VLOOKUP(A44,Tabla2[],2,FALSE)</f>
        <v>17.78</v>
      </c>
      <c r="F44">
        <f>VLOOKUP(A44,Tabla2[],3,FALSE)</f>
        <v>18.385999999999999</v>
      </c>
      <c r="G44" t="str">
        <f>VLOOKUP(A44,Tabla4[],3,FALSE)</f>
        <v>83.147,1</v>
      </c>
      <c r="H44">
        <f>VLOOKUP(A44,Tabla3[],3,FALSE)</f>
        <v>256.46800000000002</v>
      </c>
      <c r="I44" t="str">
        <f>VLOOKUP(A44,Tabla16[],2,FALSE)</f>
        <v>9,57</v>
      </c>
      <c r="J44">
        <f>VLOOKUP(A44,Tabla17[],3,FALSE)</f>
        <v>7.1999999999999995E-2</v>
      </c>
      <c r="K44">
        <f>VLOOKUP(A44,Tabla17[],4,FALSE)</f>
        <v>0.308</v>
      </c>
      <c r="L44">
        <f>VLOOKUP(A44,Tabla17[],5,FALSE)</f>
        <v>0.621</v>
      </c>
      <c r="M44" t="str">
        <f>VLOOKUP(A44,Tabla17[],6,FALSE)</f>
        <v>51 235</v>
      </c>
      <c r="N44" t="str">
        <f>VLOOKUP(A44,Tabla17[],7,FALSE)</f>
        <v>219 173</v>
      </c>
      <c r="O44" t="str">
        <f>VLOOKUP(A44,Tabla17[],8,FALSE)</f>
        <v>441 904</v>
      </c>
      <c r="P44" t="str">
        <f>VLOOKUP(A44,Tabla110[],2,FALSE)</f>
        <v> PESO COLOMBIANO</v>
      </c>
      <c r="Q44" t="str">
        <f>VLOOKUP(A44,Tabla110[],3,FALSE)</f>
        <v>4357,5</v>
      </c>
      <c r="R44">
        <f>VLOOKUP(A44,Tabla29[],2,FALSE)</f>
        <v>5.6379999999999999</v>
      </c>
      <c r="S44">
        <f>VLOOKUP(A44,Tabla29[],3,FALSE)</f>
        <v>48</v>
      </c>
      <c r="T44">
        <f>VLOOKUP(A44,Tabla18[],3,FALSE)</f>
        <v>59.8</v>
      </c>
    </row>
    <row r="45" spans="1:20" x14ac:dyDescent="0.25">
      <c r="A45" s="1" t="s">
        <v>137</v>
      </c>
      <c r="B45" t="str">
        <f>VLOOKUP(A45,Tabla1[],2,FALSE)</f>
        <v>1.609.000.000</v>
      </c>
      <c r="C45" t="str">
        <f>VLOOKUP(A45,Tabla1[],3,FALSE)</f>
        <v>3,78%</v>
      </c>
      <c r="D45">
        <f>VLOOKUP(A45,Tabla1[],4,FALSE)</f>
        <v>1.7689999999999999</v>
      </c>
      <c r="E45">
        <f>VLOOKUP(A45,Tabla2[],2,FALSE)</f>
        <v>116</v>
      </c>
      <c r="F45">
        <f>VLOOKUP(A45,Tabla2[],3,FALSE)</f>
        <v>205</v>
      </c>
      <c r="G45" t="e">
        <f>VLOOKUP(A45,Tabla4[],3,FALSE)</f>
        <v>#N/A</v>
      </c>
      <c r="H45">
        <f>VLOOKUP(A45,Tabla3[],3,FALSE)</f>
        <v>464</v>
      </c>
      <c r="I45" t="str">
        <f>VLOOKUP(A45,Tabla16[],2,FALSE)</f>
        <v>5,80</v>
      </c>
      <c r="J45">
        <f>VLOOKUP(A45,Tabla17[],3,FALSE)</f>
        <v>0.47699999999999998</v>
      </c>
      <c r="K45">
        <f>VLOOKUP(A45,Tabla17[],4,FALSE)</f>
        <v>0.11799999999999999</v>
      </c>
      <c r="L45">
        <f>VLOOKUP(A45,Tabla17[],5,FALSE)</f>
        <v>0.40500000000000003</v>
      </c>
      <c r="M45">
        <f>VLOOKUP(A45,Tabla17[],6,FALSE)</f>
        <v>629</v>
      </c>
      <c r="N45">
        <f>VLOOKUP(A45,Tabla17[],7,FALSE)</f>
        <v>156</v>
      </c>
      <c r="O45">
        <f>VLOOKUP(A45,Tabla17[],8,FALSE)</f>
        <v>534</v>
      </c>
      <c r="P45" t="str">
        <f>VLOOKUP(A45,Tabla110[],2,FALSE)</f>
        <v> FRANCO DE COMORAS</v>
      </c>
      <c r="Q45" t="str">
        <f>VLOOKUP(A45,Tabla110[],3,FALSE)</f>
        <v>473,08</v>
      </c>
      <c r="R45">
        <f>VLOOKUP(A45,Tabla29[],2,FALSE)</f>
        <v>1.587</v>
      </c>
      <c r="S45">
        <f>VLOOKUP(A45,Tabla29[],3,FALSE)</f>
        <v>40</v>
      </c>
      <c r="T45">
        <f>VLOOKUP(A45,Tabla18[],3,FALSE)</f>
        <v>52.7</v>
      </c>
    </row>
    <row r="46" spans="1:20" x14ac:dyDescent="0.25">
      <c r="A46" s="2" t="s">
        <v>76</v>
      </c>
      <c r="B46" t="str">
        <f>VLOOKUP(A46,Tabla1[],2,FALSE)</f>
        <v>15.592.000.000</v>
      </c>
      <c r="C46" t="str">
        <f>VLOOKUP(A46,Tabla1[],3,FALSE)</f>
        <v>2,37%</v>
      </c>
      <c r="D46">
        <f>VLOOKUP(A46,Tabla1[],4,FALSE)</f>
        <v>2.4039999999999999</v>
      </c>
      <c r="E46" t="e">
        <f>VLOOKUP(A46,Tabla2[],2,FALSE)</f>
        <v>#N/A</v>
      </c>
      <c r="F46" t="e">
        <f>VLOOKUP(A46,Tabla2[],3,FALSE)</f>
        <v>#N/A</v>
      </c>
      <c r="G46" t="e">
        <f>VLOOKUP(A46,Tabla4[],3,FALSE)</f>
        <v>#N/A</v>
      </c>
      <c r="H46" t="e">
        <f>VLOOKUP(A46,Tabla3[],3,FALSE)</f>
        <v>#N/A</v>
      </c>
      <c r="I46" t="e">
        <f>VLOOKUP(A46,Tabla16[],2,FALSE)</f>
        <v>#N/A</v>
      </c>
      <c r="J46" t="e">
        <f>VLOOKUP(A46,Tabla17[],3,FALSE)</f>
        <v>#N/A</v>
      </c>
      <c r="K46" t="e">
        <f>VLOOKUP(A46,Tabla17[],4,FALSE)</f>
        <v>#N/A</v>
      </c>
      <c r="L46" t="e">
        <f>VLOOKUP(A46,Tabla17[],5,FALSE)</f>
        <v>#N/A</v>
      </c>
      <c r="M46" t="e">
        <f>VLOOKUP(A46,Tabla17[],6,FALSE)</f>
        <v>#N/A</v>
      </c>
      <c r="N46" t="e">
        <f>VLOOKUP(A46,Tabla17[],7,FALSE)</f>
        <v>#N/A</v>
      </c>
      <c r="O46" t="e">
        <f>VLOOKUP(A46,Tabla17[],8,FALSE)</f>
        <v>#N/A</v>
      </c>
      <c r="P46" t="e">
        <f>VLOOKUP(A46,Tabla110[],2,FALSE)</f>
        <v>#N/A</v>
      </c>
      <c r="Q46" t="e">
        <f>VLOOKUP(A46,Tabla110[],3,FALSE)</f>
        <v>#N/A</v>
      </c>
      <c r="R46" t="e">
        <f>VLOOKUP(A46,Tabla29[],2,FALSE)</f>
        <v>#N/A</v>
      </c>
      <c r="S46" t="e">
        <f>VLOOKUP(A46,Tabla29[],3,FALSE)</f>
        <v>#N/A</v>
      </c>
      <c r="T46" t="e">
        <f>VLOOKUP(A46,Tabla18[],3,FALSE)</f>
        <v>#N/A</v>
      </c>
    </row>
    <row r="47" spans="1:20" x14ac:dyDescent="0.25">
      <c r="A47" s="2" t="s">
        <v>110</v>
      </c>
      <c r="B47" t="str">
        <f>VLOOKUP(A47,Tabla1[],2,FALSE)</f>
        <v>16.446.632.290</v>
      </c>
      <c r="C47" t="str">
        <f>VLOOKUP(A47,Tabla1[],3,FALSE)</f>
        <v>3,06%</v>
      </c>
      <c r="D47">
        <f>VLOOKUP(A47,Tabla1[],4,FALSE)</f>
        <v>640</v>
      </c>
      <c r="E47" t="e">
        <f>VLOOKUP(A47,Tabla2[],2,FALSE)</f>
        <v>#N/A</v>
      </c>
      <c r="F47" t="e">
        <f>VLOOKUP(A47,Tabla2[],3,FALSE)</f>
        <v>#N/A</v>
      </c>
      <c r="G47" t="e">
        <f>VLOOKUP(A47,Tabla4[],3,FALSE)</f>
        <v>#N/A</v>
      </c>
      <c r="H47" t="e">
        <f>VLOOKUP(A47,Tabla3[],3,FALSE)</f>
        <v>#N/A</v>
      </c>
      <c r="I47">
        <f>VLOOKUP(A47,Tabla16[],2,FALSE)</f>
        <v>3</v>
      </c>
      <c r="J47">
        <f>VLOOKUP(A47,Tabla17[],3,FALSE)</f>
        <v>0.22500000000000001</v>
      </c>
      <c r="K47">
        <f>VLOOKUP(A47,Tabla17[],4,FALSE)</f>
        <v>0.47599999999999998</v>
      </c>
      <c r="L47">
        <f>VLOOKUP(A47,Tabla17[],5,FALSE)</f>
        <v>0.29899999999999999</v>
      </c>
      <c r="M47">
        <f>VLOOKUP(A47,Tabla17[],6,FALSE)</f>
        <v>9000</v>
      </c>
      <c r="N47" t="str">
        <f>VLOOKUP(A47,Tabla17[],7,FALSE)</f>
        <v>19 040</v>
      </c>
      <c r="O47" t="str">
        <f>VLOOKUP(A47,Tabla17[],8,FALSE)</f>
        <v>11 960</v>
      </c>
      <c r="P47" t="e">
        <f>VLOOKUP(A47,Tabla110[],2,FALSE)</f>
        <v>#N/A</v>
      </c>
      <c r="Q47" t="e">
        <f>VLOOKUP(A47,Tabla110[],3,FALSE)</f>
        <v>#N/A</v>
      </c>
      <c r="R47">
        <f>VLOOKUP(A47,Tabla29[],2,FALSE)</f>
        <v>0</v>
      </c>
      <c r="S47">
        <f>VLOOKUP(A47,Tabla29[],3,FALSE)</f>
        <v>0</v>
      </c>
      <c r="T47">
        <f>VLOOKUP(A47,Tabla18[],3,FALSE)</f>
        <v>3.1</v>
      </c>
    </row>
    <row r="48" spans="1:20" x14ac:dyDescent="0.25">
      <c r="A48" s="2" t="s">
        <v>26</v>
      </c>
      <c r="B48" t="str">
        <f>VLOOKUP(A48,Tabla1[],2,FALSE)</f>
        <v>1.872.375.000.000</v>
      </c>
      <c r="C48" t="str">
        <f>VLOOKUP(A48,Tabla1[],3,FALSE)</f>
        <v>1,01%</v>
      </c>
      <c r="D48">
        <f>VLOOKUP(A48,Tabla1[],4,FALSE)</f>
        <v>36.226999999999997</v>
      </c>
      <c r="E48">
        <f>VLOOKUP(TRIM(A48),Tabla2[],2,FALSE)</f>
        <v>138.953</v>
      </c>
      <c r="F48">
        <f>VLOOKUP(A48,Tabla2[],3,FALSE)</f>
        <v>162.654</v>
      </c>
      <c r="G48" t="str">
        <f>VLOOKUP(A48,Tabla4[],3,FALSE)</f>
        <v>473.666,5</v>
      </c>
      <c r="H48">
        <f>VLOOKUP(A48,Tabla3[],3,FALSE)</f>
        <v>934.22500000000002</v>
      </c>
      <c r="I48">
        <f>VLOOKUP(A48,Tabla16[],2,FALSE)</f>
        <v>2.64</v>
      </c>
      <c r="J48">
        <f>VLOOKUP(A48,Tabla17[],3,FALSE)</f>
        <v>2.1999999999999999E-2</v>
      </c>
      <c r="K48">
        <f>VLOOKUP(A48,Tabla17[],4,FALSE)</f>
        <v>0.39300000000000002</v>
      </c>
      <c r="L48">
        <f>VLOOKUP(A48,Tabla17[],5,FALSE)</f>
        <v>0.58299999999999996</v>
      </c>
      <c r="M48" t="str">
        <f>VLOOKUP(A48,Tabla17[],6,FALSE)</f>
        <v>44 770</v>
      </c>
      <c r="N48" t="str">
        <f>VLOOKUP(A48,Tabla17[],7,FALSE)</f>
        <v>799 755</v>
      </c>
      <c r="O48" t="str">
        <f>VLOOKUP(A48,Tabla17[],8,FALSE)</f>
        <v>1 186 405</v>
      </c>
      <c r="P48" t="str">
        <f>VLOOKUP(A48,Tabla110[],2,FALSE)</f>
        <v> WON DE COREA DEL SUR</v>
      </c>
      <c r="Q48" t="str">
        <f>VLOOKUP(A48,Tabla110[],3,FALSE)</f>
        <v>1463,7</v>
      </c>
      <c r="R48">
        <f>VLOOKUP(A48,Tabla29[],2,FALSE)</f>
        <v>20.99</v>
      </c>
      <c r="S48">
        <f>VLOOKUP(A48,Tabla29[],3,FALSE)</f>
        <v>40</v>
      </c>
      <c r="T48">
        <f>VLOOKUP(A48,Tabla18[],3,FALSE)</f>
        <v>73.7</v>
      </c>
    </row>
    <row r="49" spans="1:20" x14ac:dyDescent="0.25">
      <c r="A49" s="2" t="s">
        <v>200</v>
      </c>
      <c r="B49" t="str">
        <f>VLOOKUP(A49,Tabla1[],2,FALSE)</f>
        <v>98.885.000.000</v>
      </c>
      <c r="C49" t="str">
        <f>VLOOKUP(A49,Tabla1[],3,FALSE)</f>
        <v>6,50%</v>
      </c>
      <c r="D49">
        <f>VLOOKUP(A49,Tabla1[],4,FALSE)</f>
        <v>3.0059999999999998</v>
      </c>
      <c r="E49">
        <f>VLOOKUP(A49,Tabla2[],2,FALSE)</f>
        <v>913</v>
      </c>
      <c r="F49">
        <f>VLOOKUP(A49,Tabla2[],3,FALSE)</f>
        <v>4.7249999999999996</v>
      </c>
      <c r="G49" t="str">
        <f>VLOOKUP(A49,Tabla4[],3,FALSE)</f>
        <v>12.073,6</v>
      </c>
      <c r="H49">
        <f>VLOOKUP(A49,Tabla3[],3,FALSE)</f>
        <v>51.606999999999999</v>
      </c>
      <c r="I49">
        <f>VLOOKUP(A49,Tabla16[],2,FALSE)</f>
        <v>2.4</v>
      </c>
      <c r="J49">
        <f>VLOOKUP(A49,Tabla17[],3,FALSE)</f>
        <v>0.20100000000000001</v>
      </c>
      <c r="K49">
        <f>VLOOKUP(A49,Tabla17[],4,FALSE)</f>
        <v>0.26600000000000001</v>
      </c>
      <c r="L49">
        <f>VLOOKUP(A49,Tabla17[],5,FALSE)</f>
        <v>0.53300000000000003</v>
      </c>
      <c r="M49" t="str">
        <f>VLOOKUP(A49,Tabla17[],6,FALSE)</f>
        <v>19 529</v>
      </c>
      <c r="N49" t="str">
        <f>VLOOKUP(A49,Tabla17[],7,FALSE)</f>
        <v>25 845</v>
      </c>
      <c r="O49" t="str">
        <f>VLOOKUP(A49,Tabla17[],8,FALSE)</f>
        <v>51 786</v>
      </c>
      <c r="P49" t="e">
        <f>VLOOKUP(A49,Tabla110[],2,FALSE)</f>
        <v>#N/A</v>
      </c>
      <c r="Q49" t="e">
        <f>VLOOKUP(A49,Tabla110[],3,FALSE)</f>
        <v>#N/A</v>
      </c>
      <c r="R49">
        <f>VLOOKUP(A49,Tabla29[],2,FALSE)</f>
        <v>792</v>
      </c>
      <c r="S49">
        <f>VLOOKUP(A49,Tabla29[],3,FALSE)</f>
        <v>40</v>
      </c>
      <c r="T49">
        <f>VLOOKUP(A49,Tabla18[],3,FALSE)</f>
        <v>58.1</v>
      </c>
    </row>
    <row r="50" spans="1:20" x14ac:dyDescent="0.25">
      <c r="A50" s="2" t="s">
        <v>160</v>
      </c>
      <c r="B50" t="str">
        <f>VLOOKUP(A50,Tabla1[],2,FALSE)</f>
        <v>102.902.000.000</v>
      </c>
      <c r="C50" t="str">
        <f>VLOOKUP(A50,Tabla1[],3,FALSE)</f>
        <v>4,56%</v>
      </c>
      <c r="D50">
        <f>VLOOKUP(A50,Tabla1[],4,FALSE)</f>
        <v>19.161999999999999</v>
      </c>
      <c r="E50">
        <f>VLOOKUP(A50,Tabla2[],2,FALSE)</f>
        <v>14.797000000000001</v>
      </c>
      <c r="F50">
        <f>VLOOKUP(A50,Tabla2[],3,FALSE)</f>
        <v>6.3680000000000003</v>
      </c>
      <c r="G50" t="str">
        <f>VLOOKUP(A50,Tabla4[],3,FALSE)</f>
        <v>23.685,1</v>
      </c>
      <c r="H50">
        <f>VLOOKUP(A50,Tabla3[],3,FALSE)</f>
        <v>56.984000000000002</v>
      </c>
      <c r="I50">
        <f>VLOOKUP(A50,Tabla16[],2,FALSE)</f>
        <v>8.3000000000000007</v>
      </c>
      <c r="J50">
        <f>VLOOKUP(A50,Tabla17[],3,FALSE)</f>
        <v>5.5E-2</v>
      </c>
      <c r="K50">
        <f>VLOOKUP(A50,Tabla17[],4,FALSE)</f>
        <v>0.20599999999999999</v>
      </c>
      <c r="L50">
        <f>VLOOKUP(A50,Tabla17[],5,FALSE)</f>
        <v>0.73899999999999999</v>
      </c>
      <c r="M50">
        <f>VLOOKUP(A50,Tabla17[],6,FALSE)</f>
        <v>4617</v>
      </c>
      <c r="N50" t="str">
        <f>VLOOKUP(A50,Tabla17[],7,FALSE)</f>
        <v>17 292</v>
      </c>
      <c r="O50" t="str">
        <f>VLOOKUP(A50,Tabla17[],8,FALSE)</f>
        <v>62 032</v>
      </c>
      <c r="P50" t="str">
        <f>VLOOKUP(A50,Tabla110[],2,FALSE)</f>
        <v> COLÓN COSTARRICENSE</v>
      </c>
      <c r="Q50" t="str">
        <f>VLOOKUP(A50,Tabla110[],3,FALSE)</f>
        <v>503,63</v>
      </c>
      <c r="R50">
        <f>VLOOKUP(A50,Tabla29[],2,FALSE)</f>
        <v>6.9320000000000004</v>
      </c>
      <c r="S50">
        <f>VLOOKUP(A50,Tabla29[],3,FALSE)</f>
        <v>48</v>
      </c>
      <c r="T50">
        <f>VLOOKUP(A50,Tabla18[],3,FALSE)</f>
        <v>69.099999999999994</v>
      </c>
    </row>
    <row r="51" spans="1:20" x14ac:dyDescent="0.25">
      <c r="A51" s="1" t="s">
        <v>117</v>
      </c>
      <c r="B51" t="str">
        <f>VLOOKUP(A51,Tabla1[],2,FALSE)</f>
        <v>106.055.000.000</v>
      </c>
      <c r="C51" t="str">
        <f>VLOOKUP(A51,Tabla1[],3,FALSE)</f>
        <v>3,15%</v>
      </c>
      <c r="D51">
        <f>VLOOKUP(A51,Tabla1[],4,FALSE)</f>
        <v>27.376000000000001</v>
      </c>
      <c r="E51">
        <f>VLOOKUP(A51,Tabla2[],2,FALSE)</f>
        <v>24.693999999999999</v>
      </c>
      <c r="F51">
        <f>VLOOKUP(A51,Tabla2[],3,FALSE)</f>
        <v>8.3480000000000008</v>
      </c>
      <c r="G51" t="str">
        <f>VLOOKUP(A51,Tabla4[],3,FALSE)</f>
        <v>35.729,3</v>
      </c>
      <c r="H51">
        <f>VLOOKUP(A51,Tabla3[],3,FALSE)</f>
        <v>53.326999999999998</v>
      </c>
      <c r="I51">
        <f>VLOOKUP(A51,Tabla16[],2,FALSE)</f>
        <v>6.06</v>
      </c>
      <c r="J51">
        <f>VLOOKUP(A51,Tabla17[],3,FALSE)</f>
        <v>3.6999999999999998E-2</v>
      </c>
      <c r="K51">
        <f>VLOOKUP(A51,Tabla17[],4,FALSE)</f>
        <v>0.26200000000000001</v>
      </c>
      <c r="L51">
        <f>VLOOKUP(A51,Tabla17[],5,FALSE)</f>
        <v>0.70099999999999996</v>
      </c>
      <c r="M51">
        <f>VLOOKUP(A51,Tabla17[],6,FALSE)</f>
        <v>3778</v>
      </c>
      <c r="N51" t="str">
        <f>VLOOKUP(A51,Tabla17[],7,FALSE)</f>
        <v>26 750</v>
      </c>
      <c r="O51" t="str">
        <f>VLOOKUP(A51,Tabla17[],8,FALSE)</f>
        <v>71 572</v>
      </c>
      <c r="P51" t="str">
        <f>VLOOKUP(A51,Tabla110[],2,FALSE)</f>
        <v> KUNA CROATA</v>
      </c>
      <c r="Q51">
        <f>VLOOKUP(A51,Tabla110[],3,FALSE)</f>
        <v>70385</v>
      </c>
      <c r="R51">
        <f>VLOOKUP(A51,Tabla29[],2,FALSE)</f>
        <v>1.585</v>
      </c>
      <c r="S51">
        <f>VLOOKUP(A51,Tabla29[],3,FALSE)</f>
        <v>40</v>
      </c>
      <c r="T51">
        <f>VLOOKUP(A51,Tabla18[],3,FALSE)</f>
        <v>67.5</v>
      </c>
    </row>
    <row r="52" spans="1:20" x14ac:dyDescent="0.25">
      <c r="A52" s="2" t="s">
        <v>54</v>
      </c>
      <c r="B52" t="str">
        <f>VLOOKUP(A52,Tabla1[],2,FALSE)</f>
        <v>201.985.998.168</v>
      </c>
      <c r="C52" t="str">
        <f>VLOOKUP(A52,Tabla1[],3,FALSE)</f>
        <v>−1,93%</v>
      </c>
      <c r="D52">
        <f>VLOOKUP(A52,Tabla1[],4,FALSE)</f>
        <v>18.329000000000001</v>
      </c>
      <c r="E52" t="e">
        <f>VLOOKUP(A52,Tabla2[],2,FALSE)</f>
        <v>#N/A</v>
      </c>
      <c r="F52" t="e">
        <f>VLOOKUP(A52,Tabla2[],3,FALSE)</f>
        <v>#N/A</v>
      </c>
      <c r="G52" t="str">
        <f>VLOOKUP(A52,Tabla4[],3,FALSE)</f>
        <v>2.004,6</v>
      </c>
      <c r="H52" t="e">
        <f>VLOOKUP(A52,Tabla3[],3,FALSE)</f>
        <v>#N/A</v>
      </c>
      <c r="I52">
        <f>VLOOKUP(A52,Tabla16[],2,FALSE)</f>
        <v>1.1599999999999999</v>
      </c>
      <c r="J52">
        <f>VLOOKUP(A52,Tabla17[],3,FALSE)</f>
        <v>0.04</v>
      </c>
      <c r="K52">
        <f>VLOOKUP(A52,Tabla17[],4,FALSE)</f>
        <v>0.22700000000000001</v>
      </c>
      <c r="L52">
        <f>VLOOKUP(A52,Tabla17[],5,FALSE)</f>
        <v>0.73399999999999999</v>
      </c>
      <c r="M52">
        <f>VLOOKUP(A52,Tabla17[],6,FALSE)</f>
        <v>5480</v>
      </c>
      <c r="N52" t="str">
        <f>VLOOKUP(A52,Tabla17[],7,FALSE)</f>
        <v>31 099</v>
      </c>
      <c r="O52" t="str">
        <f>VLOOKUP(A52,Tabla17[],8,FALSE)</f>
        <v>100 558</v>
      </c>
      <c r="P52" t="e">
        <f>VLOOKUP(A52,Tabla110[],2,FALSE)</f>
        <v>#N/A</v>
      </c>
      <c r="Q52" t="e">
        <f>VLOOKUP(A52,Tabla110[],3,FALSE)</f>
        <v>#N/A</v>
      </c>
      <c r="R52">
        <f>VLOOKUP(A52,Tabla29[],2,FALSE)</f>
        <v>44</v>
      </c>
      <c r="S52">
        <f>VLOOKUP(A52,Tabla29[],3,FALSE)</f>
        <v>48</v>
      </c>
      <c r="T52">
        <f>VLOOKUP(A52,Tabla18[],3,FALSE)</f>
        <v>25.2</v>
      </c>
    </row>
    <row r="53" spans="1:20" x14ac:dyDescent="0.25">
      <c r="A53" s="2" t="s">
        <v>146</v>
      </c>
      <c r="B53" t="str">
        <f>VLOOKUP(A53,Tabla1[],2,FALSE)</f>
        <v>3.281.419.347</v>
      </c>
      <c r="C53" t="str">
        <f>VLOOKUP(A53,Tabla1[],3,FALSE)</f>
        <v>4,20%</v>
      </c>
      <c r="D53">
        <f>VLOOKUP(A53,Tabla1[],4,FALSE)</f>
        <v>21.062000000000001</v>
      </c>
      <c r="E53" t="e">
        <f>VLOOKUP(A53,Tabla2[],2,FALSE)</f>
        <v>#N/A</v>
      </c>
      <c r="F53" t="e">
        <f>VLOOKUP(A53,Tabla2[],3,FALSE)</f>
        <v>#N/A</v>
      </c>
      <c r="G53" t="e">
        <f>VLOOKUP(A53,Tabla4[],3,FALSE)</f>
        <v>#N/A</v>
      </c>
      <c r="H53" t="e">
        <f>VLOOKUP(A53,Tabla3[],3,FALSE)</f>
        <v>#N/A</v>
      </c>
      <c r="I53" t="e">
        <f>VLOOKUP(A53,Tabla16[],2,FALSE)</f>
        <v>#N/A</v>
      </c>
      <c r="J53" t="e">
        <f>VLOOKUP(A53,Tabla17[],3,FALSE)</f>
        <v>#N/A</v>
      </c>
      <c r="K53" t="e">
        <f>VLOOKUP(A53,Tabla17[],4,FALSE)</f>
        <v>#N/A</v>
      </c>
      <c r="L53" t="e">
        <f>VLOOKUP(A53,Tabla17[],5,FALSE)</f>
        <v>#N/A</v>
      </c>
      <c r="M53" t="e">
        <f>VLOOKUP(A53,Tabla17[],6,FALSE)</f>
        <v>#N/A</v>
      </c>
      <c r="N53" t="e">
        <f>VLOOKUP(A53,Tabla17[],7,FALSE)</f>
        <v>#N/A</v>
      </c>
      <c r="O53" t="e">
        <f>VLOOKUP(A53,Tabla17[],8,FALSE)</f>
        <v>#N/A</v>
      </c>
      <c r="P53" t="e">
        <f>VLOOKUP(A53,Tabla110[],2,FALSE)</f>
        <v>#N/A</v>
      </c>
      <c r="Q53" t="e">
        <f>VLOOKUP(A53,Tabla110[],3,FALSE)</f>
        <v>#N/A</v>
      </c>
      <c r="R53" t="e">
        <f>VLOOKUP(A53,Tabla29[],2,FALSE)</f>
        <v>#N/A</v>
      </c>
      <c r="S53" t="e">
        <f>VLOOKUP(A53,Tabla29[],3,FALSE)</f>
        <v>#N/A</v>
      </c>
      <c r="T53" t="e">
        <f>VLOOKUP(A53,Tabla18[],3,FALSE)</f>
        <v>#N/A</v>
      </c>
    </row>
    <row r="54" spans="1:20" x14ac:dyDescent="0.25">
      <c r="A54" s="2" t="s">
        <v>102</v>
      </c>
      <c r="B54" t="str">
        <f>VLOOKUP(A54,Tabla1[],2,FALSE)</f>
        <v>461.718.000.000</v>
      </c>
      <c r="C54" t="str">
        <f>VLOOKUP(A54,Tabla1[],3,FALSE)</f>
        <v>2,88%</v>
      </c>
      <c r="D54">
        <f>VLOOKUP(A54,Tabla1[],4,FALSE)</f>
        <v>77.046000000000006</v>
      </c>
      <c r="E54">
        <f>VLOOKUP(A54,Tabla2[],2,FALSE)</f>
        <v>127.10899999999999</v>
      </c>
      <c r="F54">
        <f>VLOOKUP(A54,Tabla2[],3,FALSE)</f>
        <v>121197</v>
      </c>
      <c r="G54" t="str">
        <f>VLOOKUP(A54,Tabla4[],3,FALSE)</f>
        <v>191.787,8</v>
      </c>
      <c r="H54">
        <f>VLOOKUP(A54,Tabla3[],3,FALSE)</f>
        <v>133.52500000000001</v>
      </c>
      <c r="I54">
        <f>VLOOKUP(A54,Tabla16[],2,FALSE)</f>
        <v>5.14</v>
      </c>
      <c r="J54">
        <f>VLOOKUP(A54,Tabla17[],3,FALSE)</f>
        <v>1.2999999999999999E-2</v>
      </c>
      <c r="K54">
        <f>VLOOKUP(A54,Tabla17[],4,FALSE)</f>
        <v>0.22900000000000001</v>
      </c>
      <c r="L54">
        <f>VLOOKUP(A54,Tabla17[],5,FALSE)</f>
        <v>0.75800000000000001</v>
      </c>
      <c r="M54">
        <f>VLOOKUP(A54,Tabla17[],6,FALSE)</f>
        <v>3741</v>
      </c>
      <c r="N54" t="str">
        <f>VLOOKUP(A54,Tabla17[],7,FALSE)</f>
        <v>65 906</v>
      </c>
      <c r="O54" t="str">
        <f>VLOOKUP(A54,Tabla17[],8,FALSE)</f>
        <v>218 152</v>
      </c>
      <c r="P54" t="str">
        <f>VLOOKUP(A54,Tabla110[],2,FALSE)</f>
        <v> CORONA DANESA</v>
      </c>
      <c r="Q54">
        <f>VLOOKUP(A54,Tabla110[],3,FALSE)</f>
        <v>71726</v>
      </c>
      <c r="R54">
        <f>VLOOKUP(A54,Tabla29[],2,FALSE)</f>
        <v>0</v>
      </c>
      <c r="S54">
        <f>VLOOKUP(A54,Tabla29[],3,FALSE)</f>
        <v>37.5</v>
      </c>
      <c r="T54">
        <f>VLOOKUP(A54,Tabla18[],3,FALSE)</f>
        <v>79</v>
      </c>
    </row>
    <row r="55" spans="1:20" x14ac:dyDescent="0.25">
      <c r="A55" s="1" t="s">
        <v>159</v>
      </c>
      <c r="B55" t="str">
        <f>VLOOKUP(A55,Tabla1[],2,FALSE)</f>
        <v>744.000.000</v>
      </c>
      <c r="C55" t="str">
        <f>VLOOKUP(A55,Tabla1[],3,FALSE)</f>
        <v>4,54%</v>
      </c>
      <c r="D55">
        <f>VLOOKUP(A55,Tabla1[],4,FALSE)</f>
        <v>9.8949999999999996</v>
      </c>
      <c r="E55">
        <f>VLOOKUP(A55,Tabla2[],2,FALSE)</f>
        <v>163</v>
      </c>
      <c r="F55">
        <f>VLOOKUP(A55,Tabla2[],3,FALSE)</f>
        <v>152</v>
      </c>
      <c r="G55" t="e">
        <f>VLOOKUP(A55,Tabla4[],3,FALSE)</f>
        <v>#N/A</v>
      </c>
      <c r="H55">
        <f>VLOOKUP(A55,Tabla3[],3,FALSE)</f>
        <v>675</v>
      </c>
      <c r="I55" t="e">
        <f>VLOOKUP(A55,Tabla16[],2,FALSE)</f>
        <v>#N/A</v>
      </c>
      <c r="J55">
        <f>VLOOKUP(A55,Tabla17[],3,FALSE)</f>
        <v>0.223</v>
      </c>
      <c r="K55">
        <f>VLOOKUP(A55,Tabla17[],4,FALSE)</f>
        <v>0.126</v>
      </c>
      <c r="L55">
        <f>VLOOKUP(A55,Tabla17[],5,FALSE)</f>
        <v>0.65100000000000002</v>
      </c>
      <c r="M55">
        <f>VLOOKUP(A55,Tabla17[],6,FALSE)</f>
        <v>175</v>
      </c>
      <c r="N55">
        <f>VLOOKUP(A55,Tabla17[],7,FALSE)</f>
        <v>99</v>
      </c>
      <c r="O55">
        <f>VLOOKUP(A55,Tabla17[],8,FALSE)</f>
        <v>510</v>
      </c>
      <c r="P55" t="e">
        <f>VLOOKUP(A55,Tabla110[],2,FALSE)</f>
        <v>#N/A</v>
      </c>
      <c r="Q55" t="e">
        <f>VLOOKUP(A55,Tabla110[],3,FALSE)</f>
        <v>#N/A</v>
      </c>
      <c r="R55">
        <f>VLOOKUP(A55,Tabla29[],2,FALSE)</f>
        <v>3.081</v>
      </c>
      <c r="S55">
        <f>VLOOKUP(A55,Tabla29[],3,FALSE)</f>
        <v>40</v>
      </c>
      <c r="T55">
        <f>VLOOKUP(A55,Tabla18[],3,FALSE)</f>
        <v>56.1</v>
      </c>
    </row>
    <row r="56" spans="1:20" x14ac:dyDescent="0.25">
      <c r="A56" s="2" t="s">
        <v>134</v>
      </c>
      <c r="B56" t="str">
        <f>VLOOKUP(A56,Tabla1[],2,FALSE)</f>
        <v>130.321.000.000</v>
      </c>
      <c r="C56" t="str">
        <f>VLOOKUP(A56,Tabla1[],3,FALSE)</f>
        <v>3,73%</v>
      </c>
      <c r="D56">
        <f>VLOOKUP(A56,Tabla1[],4,FALSE)</f>
        <v>7.1989999999999998</v>
      </c>
      <c r="E56">
        <f>VLOOKUP(A56,Tabla2[],2,FALSE)</f>
        <v>4.2030000000000003</v>
      </c>
      <c r="F56">
        <f>VLOOKUP(A56,Tabla2[],3,FALSE)</f>
        <v>6.1440000000000001</v>
      </c>
      <c r="G56" t="str">
        <f>VLOOKUP(A56,Tabla4[],3,FALSE)</f>
        <v>24.471,5</v>
      </c>
      <c r="H56">
        <f>VLOOKUP(A56,Tabla3[],3,FALSE)</f>
        <v>67.019000000000005</v>
      </c>
      <c r="I56">
        <f>VLOOKUP(A56,Tabla16[],2,FALSE)</f>
        <v>3.37</v>
      </c>
      <c r="J56">
        <f>VLOOKUP(A56,Tabla17[],3,FALSE)</f>
        <v>6.7000000000000004E-2</v>
      </c>
      <c r="K56">
        <f>VLOOKUP(A56,Tabla17[],4,FALSE)</f>
        <v>0.32900000000000001</v>
      </c>
      <c r="L56">
        <f>VLOOKUP(A56,Tabla17[],5,FALSE)</f>
        <v>0.60399999999999998</v>
      </c>
      <c r="M56" t="str">
        <f>VLOOKUP(A56,Tabla17[],6,FALSE)</f>
        <v>12 931</v>
      </c>
      <c r="N56" t="str">
        <f>VLOOKUP(A56,Tabla17[],7,FALSE)</f>
        <v>63 497</v>
      </c>
      <c r="O56" t="str">
        <f>VLOOKUP(A56,Tabla17[],8,FALSE)</f>
        <v>116 572</v>
      </c>
      <c r="P56" t="e">
        <f>VLOOKUP(A56,Tabla110[],2,FALSE)</f>
        <v>#N/A</v>
      </c>
      <c r="Q56" t="e">
        <f>VLOOKUP(A56,Tabla110[],3,FALSE)</f>
        <v>#N/A</v>
      </c>
      <c r="R56">
        <f>VLOOKUP(A56,Tabla29[],2,FALSE)</f>
        <v>7.1239999999999997</v>
      </c>
      <c r="S56">
        <f>VLOOKUP(A56,Tabla29[],3,FALSE)</f>
        <v>40</v>
      </c>
      <c r="T56">
        <f>VLOOKUP(A56,Tabla18[],3,FALSE)</f>
        <v>55.6</v>
      </c>
    </row>
    <row r="57" spans="1:20" x14ac:dyDescent="0.25">
      <c r="A57" s="2" t="s">
        <v>154</v>
      </c>
      <c r="B57" t="str">
        <f>VLOOKUP(A57,Tabla1[],2,FALSE)</f>
        <v>364.640.000.000</v>
      </c>
      <c r="C57" t="str">
        <f>VLOOKUP(A57,Tabla1[],3,FALSE)</f>
        <v>4,39%</v>
      </c>
      <c r="D57">
        <f>VLOOKUP(A57,Tabla1[],4,FALSE)</f>
        <v>3.379</v>
      </c>
      <c r="E57">
        <f>VLOOKUP(A57,Tabla2[],2,FALSE)</f>
        <v>33.649000000000001</v>
      </c>
      <c r="F57">
        <f>VLOOKUP(A57,Tabla2[],3,FALSE)</f>
        <v>22.004999999999999</v>
      </c>
      <c r="G57" t="str">
        <f>VLOOKUP(A57,Tabla4[],3,FALSE)</f>
        <v>49.810,7</v>
      </c>
      <c r="H57">
        <f>VLOOKUP(A57,Tabla3[],3,FALSE)</f>
        <v>348.34199999999998</v>
      </c>
      <c r="I57">
        <f>VLOOKUP(A57,Tabla16[],2,FALSE)</f>
        <v>7.31</v>
      </c>
      <c r="J57">
        <f>VLOOKUP(A57,Tabla17[],3,FALSE)</f>
        <v>0.11700000000000001</v>
      </c>
      <c r="K57">
        <f>VLOOKUP(A57,Tabla17[],4,FALSE)</f>
        <v>0.34300000000000003</v>
      </c>
      <c r="L57">
        <f>VLOOKUP(A57,Tabla17[],5,FALSE)</f>
        <v>0.54</v>
      </c>
      <c r="M57" t="str">
        <f>VLOOKUP(A57,Tabla17[],6,FALSE)</f>
        <v>140 868</v>
      </c>
      <c r="N57" t="str">
        <f>VLOOKUP(A57,Tabla17[],7,FALSE)</f>
        <v>412 972</v>
      </c>
      <c r="O57" t="str">
        <f>VLOOKUP(A57,Tabla17[],8,FALSE)</f>
        <v>650 160</v>
      </c>
      <c r="P57" t="str">
        <f>VLOOKUP(A57,Tabla110[],2,FALSE)</f>
        <v> LIBRA EGIPCIA</v>
      </c>
      <c r="Q57" t="str">
        <f>VLOOKUP(A57,Tabla110[],3,FALSE)</f>
        <v>50,85</v>
      </c>
      <c r="R57">
        <f>VLOOKUP(A57,Tabla29[],2,FALSE)</f>
        <v>0</v>
      </c>
      <c r="S57">
        <f>VLOOKUP(A57,Tabla29[],3,FALSE)</f>
        <v>42</v>
      </c>
      <c r="T57">
        <f>VLOOKUP(A57,Tabla18[],3,FALSE)</f>
        <v>50.3</v>
      </c>
    </row>
    <row r="58" spans="1:20" x14ac:dyDescent="0.25">
      <c r="A58" s="1" t="s">
        <v>131</v>
      </c>
      <c r="B58" t="str">
        <f>VLOOKUP(A58,Tabla1[],2,FALSE)</f>
        <v>37.268.000.000</v>
      </c>
      <c r="C58" t="str">
        <f>VLOOKUP(A58,Tabla1[],3,FALSE)</f>
        <v>3,70%</v>
      </c>
      <c r="D58">
        <f>VLOOKUP(A58,Tabla1[],4,FALSE)</f>
        <v>5.8390000000000004</v>
      </c>
      <c r="E58">
        <f>VLOOKUP(A58,Tabla2[],2,FALSE)</f>
        <v>6</v>
      </c>
      <c r="F58">
        <f>VLOOKUP(A58,Tabla2[],3,FALSE)</f>
        <v>3.2589999999999999</v>
      </c>
      <c r="G58" t="str">
        <f>VLOOKUP(A58,Tabla4[],3,FALSE)</f>
        <v>7.761,2</v>
      </c>
      <c r="H58">
        <f>VLOOKUP(A58,Tabla3[],3,FALSE)</f>
        <v>30.949000000000002</v>
      </c>
      <c r="I58" t="str">
        <f>VLOOKUP(A58,Tabla16[],2,FALSE)</f>
        <v>2,76</v>
      </c>
      <c r="J58">
        <f>VLOOKUP(A58,Tabla17[],3,FALSE)</f>
        <v>0.12</v>
      </c>
      <c r="K58">
        <f>VLOOKUP(A58,Tabla17[],4,FALSE)</f>
        <v>0.27700000000000002</v>
      </c>
      <c r="L58">
        <f>VLOOKUP(A58,Tabla17[],5,FALSE)</f>
        <v>0.60299999999999998</v>
      </c>
      <c r="M58">
        <f>VLOOKUP(A58,Tabla17[],6,FALSE)</f>
        <v>6140</v>
      </c>
      <c r="N58" t="str">
        <f>VLOOKUP(A58,Tabla17[],7,FALSE)</f>
        <v>14 174</v>
      </c>
      <c r="O58" t="str">
        <f>VLOOKUP(A58,Tabla17[],8,FALSE)</f>
        <v>30 856</v>
      </c>
      <c r="P58" t="str">
        <f>VLOOKUP(A58,Tabla110[],2,FALSE)</f>
        <v> COLÓN DE EL SALVADOR</v>
      </c>
      <c r="Q58">
        <f>VLOOKUP(A58,Tabla110[],3,FALSE)</f>
        <v>87498</v>
      </c>
      <c r="R58">
        <f>VLOOKUP(A58,Tabla29[],2,FALSE)</f>
        <v>3.65</v>
      </c>
      <c r="S58">
        <f>VLOOKUP(A58,Tabla29[],3,FALSE)</f>
        <v>44</v>
      </c>
      <c r="T58">
        <f>VLOOKUP(A58,Tabla18[],3,FALSE)</f>
        <v>57.7</v>
      </c>
    </row>
    <row r="59" spans="1:20" x14ac:dyDescent="0.25">
      <c r="A59" s="2" t="s">
        <v>190</v>
      </c>
      <c r="B59" t="str">
        <f>VLOOKUP(A59,Tabla1[],2,FALSE)</f>
        <v>571.643.000.000</v>
      </c>
      <c r="C59" t="str">
        <f>VLOOKUP(A59,Tabla1[],3,FALSE)</f>
        <v>5,80%</v>
      </c>
      <c r="D59">
        <f>VLOOKUP(A59,Tabla1[],4,FALSE)</f>
        <v>50.231999999999999</v>
      </c>
      <c r="E59" t="e">
        <f>VLOOKUP(A59,Tabla2[],2,FALSE)</f>
        <v>#N/A</v>
      </c>
      <c r="F59" t="e">
        <f>VLOOKUP(A59,Tabla2[],3,FALSE)</f>
        <v>#N/A</v>
      </c>
      <c r="G59" t="e">
        <f>VLOOKUP(A59,Tabla4[],3,FALSE)</f>
        <v>#N/A</v>
      </c>
      <c r="H59">
        <f>VLOOKUP(A59,Tabla3[],3,FALSE)</f>
        <v>166.76300000000001</v>
      </c>
      <c r="I59">
        <f>VLOOKUP(A59,Tabla16[],2,FALSE)</f>
        <v>2.71</v>
      </c>
      <c r="J59">
        <f>VLOOKUP(A59,Tabla17[],3,FALSE)</f>
        <v>8.9999999999999993E-3</v>
      </c>
      <c r="K59">
        <f>VLOOKUP(A59,Tabla17[],4,FALSE)</f>
        <v>0.498</v>
      </c>
      <c r="L59">
        <f>VLOOKUP(A59,Tabla17[],5,FALSE)</f>
        <v>0.49199999999999999</v>
      </c>
      <c r="M59">
        <f>VLOOKUP(A59,Tabla17[],6,FALSE)</f>
        <v>6264</v>
      </c>
      <c r="N59" t="str">
        <f>VLOOKUP(A59,Tabla17[],7,FALSE)</f>
        <v>346 608</v>
      </c>
      <c r="O59" t="str">
        <f>VLOOKUP(A59,Tabla17[],8,FALSE)</f>
        <v>342 432</v>
      </c>
      <c r="P59" t="e">
        <f>VLOOKUP(A59,Tabla110[],2,FALSE)</f>
        <v>#N/A</v>
      </c>
      <c r="Q59" t="e">
        <f>VLOOKUP(A59,Tabla110[],3,FALSE)</f>
        <v>#N/A</v>
      </c>
      <c r="R59">
        <f>VLOOKUP(A59,Tabla29[],2,FALSE)</f>
        <v>0</v>
      </c>
      <c r="S59">
        <f>VLOOKUP(A59,Tabla29[],3,FALSE)</f>
        <v>48</v>
      </c>
      <c r="T59">
        <f>VLOOKUP(A59,Tabla18[],3,FALSE)</f>
        <v>71.900000000000006</v>
      </c>
    </row>
    <row r="60" spans="1:20" x14ac:dyDescent="0.25">
      <c r="A60" s="2" t="s">
        <v>98</v>
      </c>
      <c r="B60" t="str">
        <f>VLOOKUP(A60,Tabla1[],2,FALSE)</f>
        <v>2.275.290.216</v>
      </c>
      <c r="C60" t="str">
        <f>VLOOKUP(A60,Tabla1[],3,FALSE)</f>
        <v>2,80%</v>
      </c>
      <c r="D60">
        <f>VLOOKUP(A60,Tabla1[],4,FALSE)</f>
        <v>656</v>
      </c>
      <c r="E60">
        <f>VLOOKUP(A60,Tabla2[],2,FALSE)</f>
        <v>61</v>
      </c>
      <c r="F60">
        <f>VLOOKUP(A60,Tabla2[],3,FALSE)</f>
        <v>28</v>
      </c>
      <c r="G60" t="e">
        <f>VLOOKUP(A60,Tabla4[],3,FALSE)</f>
        <v>#N/A</v>
      </c>
      <c r="H60">
        <f>VLOOKUP(A60,Tabla3[],3,FALSE)</f>
        <v>3.794</v>
      </c>
      <c r="I60" t="str">
        <f>VLOOKUP(A60,Tabla16[],2,FALSE)</f>
        <v>5,87</v>
      </c>
      <c r="J60">
        <f>VLOOKUP(A60,Tabla17[],3,FALSE)</f>
        <v>0.11700000000000001</v>
      </c>
      <c r="K60">
        <f>VLOOKUP(A60,Tabla17[],4,FALSE)</f>
        <v>0.29599999999999999</v>
      </c>
      <c r="L60">
        <f>VLOOKUP(A60,Tabla17[],5,FALSE)</f>
        <v>0.58699999999999997</v>
      </c>
      <c r="M60">
        <f>VLOOKUP(A60,Tabla17[],6,FALSE)</f>
        <v>1100</v>
      </c>
      <c r="N60">
        <f>VLOOKUP(A60,Tabla17[],7,FALSE)</f>
        <v>2783</v>
      </c>
      <c r="O60">
        <f>VLOOKUP(A60,Tabla17[],8,FALSE)</f>
        <v>5519</v>
      </c>
      <c r="P60" t="str">
        <f>VLOOKUP(A60,Tabla110[],2,FALSE)</f>
        <v> NAKFA DE ERITREA</v>
      </c>
      <c r="Q60">
        <f>VLOOKUP(A60,Tabla110[],3,FALSE)</f>
        <v>15</v>
      </c>
      <c r="R60">
        <f>VLOOKUP(A60,Tabla29[],2,FALSE)</f>
        <v>0</v>
      </c>
      <c r="S60">
        <f>VLOOKUP(A60,Tabla29[],3,FALSE)</f>
        <v>44.5</v>
      </c>
      <c r="T60">
        <f>VLOOKUP(A60,Tabla18[],3,FALSE)</f>
        <v>39.6</v>
      </c>
    </row>
    <row r="61" spans="1:20" x14ac:dyDescent="0.25">
      <c r="A61" s="2" t="s">
        <v>20</v>
      </c>
      <c r="B61" t="str">
        <f>VLOOKUP(A61,Tabla1[],2,FALSE)</f>
        <v>154.442.000.000</v>
      </c>
      <c r="C61" t="str">
        <f>VLOOKUP(A61,Tabla1[],3,FALSE)</f>
        <v>0,81%</v>
      </c>
      <c r="D61">
        <f>VLOOKUP(A61,Tabla1[],4,FALSE)</f>
        <v>28.498000000000001</v>
      </c>
      <c r="E61">
        <f>VLOOKUP(TRIM(A61),Tabla2[],2,FALSE)</f>
        <v>13.561999999999999</v>
      </c>
      <c r="F61">
        <f>VLOOKUP(A61,Tabla2[],3,FALSE)</f>
        <v>12.343</v>
      </c>
      <c r="G61" t="str">
        <f>VLOOKUP(A61,Tabla4[],3,FALSE)</f>
        <v>50.403,2</v>
      </c>
      <c r="H61">
        <f>VLOOKUP(A61,Tabla3[],3,FALSE)</f>
        <v>81.117999999999995</v>
      </c>
      <c r="I61" t="str">
        <f>VLOOKUP(A61,Tabla16[],2,FALSE)</f>
        <v>5,84</v>
      </c>
      <c r="J61">
        <f>VLOOKUP(A61,Tabla17[],3,FALSE)</f>
        <v>3.7999999999999999E-2</v>
      </c>
      <c r="K61">
        <f>VLOOKUP(A61,Tabla17[],4,FALSE)</f>
        <v>0.35</v>
      </c>
      <c r="L61">
        <f>VLOOKUP(A61,Tabla17[],5,FALSE)</f>
        <v>0.61199999999999999</v>
      </c>
      <c r="M61">
        <f>VLOOKUP(A61,Tabla17[],6,FALSE)</f>
        <v>6829</v>
      </c>
      <c r="N61" t="str">
        <f>VLOOKUP(A61,Tabla17[],7,FALSE)</f>
        <v>62 895</v>
      </c>
      <c r="O61" t="str">
        <f>VLOOKUP(A61,Tabla17[],8,FALSE)</f>
        <v>109 976</v>
      </c>
      <c r="P61" t="e">
        <f>VLOOKUP(A61,Tabla110[],2,FALSE)</f>
        <v>#N/A</v>
      </c>
      <c r="Q61" t="e">
        <f>VLOOKUP(A61,Tabla110[],3,FALSE)</f>
        <v>#N/A</v>
      </c>
      <c r="R61">
        <f>VLOOKUP(A61,Tabla29[],2,FALSE)</f>
        <v>9.9139999999999997</v>
      </c>
      <c r="S61">
        <f>VLOOKUP(A61,Tabla29[],3,FALSE)</f>
        <v>40</v>
      </c>
      <c r="T61">
        <f>VLOOKUP(A61,Tabla18[],3,FALSE)</f>
        <v>67.7</v>
      </c>
    </row>
    <row r="62" spans="1:20" x14ac:dyDescent="0.25">
      <c r="A62" s="1" t="s">
        <v>27</v>
      </c>
      <c r="B62" t="str">
        <f>VLOOKUP(A62,Tabla1[],2,FALSE)</f>
        <v>79.603.000.000</v>
      </c>
      <c r="C62" t="str">
        <f>VLOOKUP(A62,Tabla1[],3,FALSE)</f>
        <v>1,06%</v>
      </c>
      <c r="D62">
        <f>VLOOKUP(A62,Tabla1[],4,FALSE)</f>
        <v>37.356999999999999</v>
      </c>
      <c r="E62">
        <f>VLOOKUP(TRIM(A62),Tabla2[],2,FALSE)</f>
        <v>13.522</v>
      </c>
      <c r="F62">
        <f>VLOOKUP(A62,Tabla2[],3,FALSE)</f>
        <v>9.5909999999999993</v>
      </c>
      <c r="G62" t="str">
        <f>VLOOKUP(A62,Tabla4[],3,FALSE)</f>
        <v>27.946,0</v>
      </c>
      <c r="H62">
        <f>VLOOKUP(A62,Tabla3[],3,FALSE)</f>
        <v>48.579000000000001</v>
      </c>
      <c r="I62">
        <f>VLOOKUP(A62,Tabla16[],2,FALSE)</f>
        <v>3.63</v>
      </c>
      <c r="J62">
        <f>VLOOKUP(A62,Tabla17[],3,FALSE)</f>
        <v>1.7999999999999999E-2</v>
      </c>
      <c r="K62">
        <f>VLOOKUP(A62,Tabla17[],4,FALSE)</f>
        <v>0.32200000000000001</v>
      </c>
      <c r="L62">
        <f>VLOOKUP(A62,Tabla17[],5,FALSE)</f>
        <v>0.65900000000000003</v>
      </c>
      <c r="M62">
        <f>VLOOKUP(A62,Tabla17[],6,FALSE)</f>
        <v>1282</v>
      </c>
      <c r="N62" t="str">
        <f>VLOOKUP(A62,Tabla17[],7,FALSE)</f>
        <v>22 936</v>
      </c>
      <c r="O62" t="str">
        <f>VLOOKUP(A62,Tabla17[],8,FALSE)</f>
        <v>46 941</v>
      </c>
      <c r="P62" t="e">
        <f>VLOOKUP(A62,Tabla110[],2,FALSE)</f>
        <v>#N/A</v>
      </c>
      <c r="Q62" t="e">
        <f>VLOOKUP(A62,Tabla110[],3,FALSE)</f>
        <v>#N/A</v>
      </c>
      <c r="R62">
        <f>VLOOKUP(A62,Tabla29[],2,FALSE)</f>
        <v>17.079000000000001</v>
      </c>
      <c r="S62">
        <f>VLOOKUP(A62,Tabla29[],3,FALSE)</f>
        <v>40</v>
      </c>
      <c r="T62">
        <f>VLOOKUP(A62,Tabla18[],3,FALSE)</f>
        <v>69.7</v>
      </c>
    </row>
    <row r="63" spans="1:20" x14ac:dyDescent="0.25">
      <c r="A63" s="1" t="s">
        <v>95</v>
      </c>
      <c r="B63" t="str">
        <f>VLOOKUP(A63,Tabla1[],2,FALSE)</f>
        <v>1.903.826.000.000</v>
      </c>
      <c r="C63" t="str">
        <f>VLOOKUP(A63,Tabla1[],3,FALSE)</f>
        <v>2,77%</v>
      </c>
      <c r="D63">
        <f>VLOOKUP(A63,Tabla1[],4,FALSE)</f>
        <v>38.29</v>
      </c>
      <c r="E63">
        <f>VLOOKUP(A63,Tabla2[],2,FALSE)</f>
        <v>220.37200000000001</v>
      </c>
      <c r="F63">
        <f>VLOOKUP(A63,Tabla2[],3,FALSE)</f>
        <v>111.559</v>
      </c>
      <c r="G63" t="str">
        <f>VLOOKUP(A63,Tabla4[],3,FALSE)</f>
        <v>633.011,5</v>
      </c>
      <c r="H63" t="str">
        <f>VLOOKUP(A63,Tabla3[],3,FALSE)</f>
        <v>1.918.960</v>
      </c>
      <c r="I63">
        <f>VLOOKUP(A63,Tabla16[],2,FALSE)</f>
        <v>12.14</v>
      </c>
      <c r="J63">
        <f>VLOOKUP(A63,Tabla17[],3,FALSE)</f>
        <v>2.5999999999999999E-2</v>
      </c>
      <c r="K63">
        <f>VLOOKUP(A63,Tabla17[],4,FALSE)</f>
        <v>0.23200000000000001</v>
      </c>
      <c r="L63">
        <f>VLOOKUP(A63,Tabla17[],5,FALSE)</f>
        <v>0.74199999999999999</v>
      </c>
      <c r="M63" t="str">
        <f>VLOOKUP(A63,Tabla17[],6,FALSE)</f>
        <v>46 228</v>
      </c>
      <c r="N63" t="str">
        <f>VLOOKUP(A63,Tabla17[],7,FALSE)</f>
        <v>412 496</v>
      </c>
      <c r="O63" t="str">
        <f>VLOOKUP(A63,Tabla17[],8,FALSE)</f>
        <v>1 319 276</v>
      </c>
      <c r="P63" t="e">
        <f>VLOOKUP(A63,Tabla110[],2,FALSE)</f>
        <v>#N/A</v>
      </c>
      <c r="Q63" t="e">
        <f>VLOOKUP(A63,Tabla110[],3,FALSE)</f>
        <v>#N/A</v>
      </c>
      <c r="R63">
        <f>VLOOKUP(A63,Tabla29[],2,FALSE)</f>
        <v>17.457000000000001</v>
      </c>
      <c r="S63">
        <f>VLOOKUP(A63,Tabla29[],3,FALSE)</f>
        <v>40</v>
      </c>
      <c r="T63">
        <f>VLOOKUP(A63,Tabla18[],3,FALSE)</f>
        <v>66.8</v>
      </c>
    </row>
    <row r="64" spans="1:20" x14ac:dyDescent="0.25">
      <c r="A64" s="2" t="s">
        <v>104</v>
      </c>
      <c r="B64" t="str">
        <f>VLOOKUP(A64,Tabla1[],2,FALSE)</f>
        <v>13.711.000.000</v>
      </c>
      <c r="C64" t="str">
        <f>VLOOKUP(A64,Tabla1[],3,FALSE)</f>
        <v>−26,60%</v>
      </c>
      <c r="D64">
        <f>VLOOKUP(A64,Tabla1[],4,FALSE)</f>
        <v>2.4430000000000001</v>
      </c>
      <c r="E64" t="e">
        <f>VLOOKUP(A64,Tabla2[],2,FALSE)</f>
        <v>#N/A</v>
      </c>
      <c r="F64" t="e">
        <f>VLOOKUP(A64,Tabla2[],3,FALSE)</f>
        <v>#N/A</v>
      </c>
      <c r="G64" t="e">
        <f>VLOOKUP(A64,Tabla4[],3,FALSE)</f>
        <v>#N/A</v>
      </c>
      <c r="H64">
        <f>VLOOKUP(A64,Tabla3[],3,FALSE)</f>
        <v>8.9909999999999997</v>
      </c>
      <c r="I64" t="e">
        <f>VLOOKUP(A64,Tabla16[],2,FALSE)</f>
        <v>#N/A</v>
      </c>
      <c r="J64" t="e">
        <f>VLOOKUP(A64,Tabla17[],3,FALSE)</f>
        <v>#N/A</v>
      </c>
      <c r="K64" t="e">
        <f>VLOOKUP(A64,Tabla17[],4,FALSE)</f>
        <v>#N/A</v>
      </c>
      <c r="L64" t="e">
        <f>VLOOKUP(A64,Tabla17[],5,FALSE)</f>
        <v>#N/A</v>
      </c>
      <c r="M64" t="e">
        <f>VLOOKUP(A64,Tabla17[],6,FALSE)</f>
        <v>#N/A</v>
      </c>
      <c r="N64" t="e">
        <f>VLOOKUP(A64,Tabla17[],7,FALSE)</f>
        <v>#N/A</v>
      </c>
      <c r="O64" t="e">
        <f>VLOOKUP(A64,Tabla17[],8,FALSE)</f>
        <v>#N/A</v>
      </c>
      <c r="P64" t="e">
        <f>VLOOKUP(A64,Tabla110[],2,FALSE)</f>
        <v>#N/A</v>
      </c>
      <c r="Q64" t="e">
        <f>VLOOKUP(A64,Tabla110[],3,FALSE)</f>
        <v>#N/A</v>
      </c>
      <c r="R64" t="e">
        <f>VLOOKUP(A64,Tabla29[],2,FALSE)</f>
        <v>#N/A</v>
      </c>
      <c r="S64" t="e">
        <f>VLOOKUP(A64,Tabla29[],3,FALSE)</f>
        <v>#N/A</v>
      </c>
      <c r="T64" t="e">
        <f>VLOOKUP(A64,Tabla18[],3,FALSE)</f>
        <v>#N/A</v>
      </c>
    </row>
    <row r="65" spans="1:20" x14ac:dyDescent="0.25">
      <c r="A65" s="1" t="s">
        <v>69</v>
      </c>
      <c r="B65" t="str">
        <f>VLOOKUP(A65,Tabla1[],2,FALSE)</f>
        <v>30.767.075.000.000</v>
      </c>
      <c r="C65" t="str">
        <f>VLOOKUP(A65,Tabla1[],3,FALSE)</f>
        <v>2,12%</v>
      </c>
      <c r="D65">
        <f>VLOOKUP(A65,Tabla1[],4,FALSE)</f>
        <v>89.991</v>
      </c>
      <c r="E65" t="str">
        <f>VLOOKUP((TRIM(SUBSTITUTE(A65,CHAR(160),""))),Tabla2[],2,FALSE)</f>
        <v>1.107.359</v>
      </c>
      <c r="F65">
        <f>VLOOKUP(A65,Tabla2[],3,FALSE)</f>
        <v>812.20399999999995</v>
      </c>
      <c r="G65" t="str">
        <f>VLOOKUP(A65,Tabla4[],3,FALSE)</f>
        <v>7.481.449,8</v>
      </c>
      <c r="H65" t="str">
        <f>VLOOKUP(A65,Tabla3[],3,FALSE)</f>
        <v>35.837.858</v>
      </c>
      <c r="I65">
        <f>VLOOKUP(A65,Tabla16[],2,FALSE)</f>
        <v>3.63</v>
      </c>
      <c r="J65">
        <f>VLOOKUP(A65,Tabla17[],3,FALSE)</f>
        <v>8.9999999999999993E-3</v>
      </c>
      <c r="K65">
        <f>VLOOKUP(A65,Tabla17[],4,FALSE)</f>
        <v>0.191</v>
      </c>
      <c r="L65">
        <f>VLOOKUP(A65,Tabla17[],5,FALSE)</f>
        <v>0.8</v>
      </c>
      <c r="M65" t="str">
        <f>VLOOKUP(A65,Tabla17[],6,FALSE)</f>
        <v>175 410</v>
      </c>
      <c r="N65" t="str">
        <f>VLOOKUP(A65,Tabla17[],7,FALSE)</f>
        <v>3 722 590</v>
      </c>
      <c r="O65" t="str">
        <f>VLOOKUP(A65,Tabla17[],8,FALSE)</f>
        <v>15 592 000</v>
      </c>
      <c r="P65" t="e">
        <f>VLOOKUP(A65,Tabla110[],2,FALSE)</f>
        <v>#N/A</v>
      </c>
      <c r="Q65" t="e">
        <f>VLOOKUP(A65,Tabla110[],3,FALSE)</f>
        <v>#N/A</v>
      </c>
      <c r="R65">
        <f>VLOOKUP(A65,Tabla29[],2,FALSE)</f>
        <v>15.08</v>
      </c>
      <c r="S65">
        <f>VLOOKUP(A65,Tabla29[],3,FALSE)</f>
        <v>40</v>
      </c>
      <c r="T65">
        <f>VLOOKUP(A65,Tabla18[],3,FALSE)</f>
        <v>72.8</v>
      </c>
    </row>
    <row r="66" spans="1:20" x14ac:dyDescent="0.25">
      <c r="A66" s="1" t="s">
        <v>13</v>
      </c>
      <c r="B66" t="str">
        <f>VLOOKUP(A66,Tabla1[],2,FALSE)</f>
        <v>47.004.000.000</v>
      </c>
      <c r="C66" t="str">
        <f>VLOOKUP(A66,Tabla1[],3,FALSE)</f>
        <v>0,58%</v>
      </c>
      <c r="D66">
        <f>VLOOKUP(A66,Tabla1[],4,FALSE)</f>
        <v>34.325000000000003</v>
      </c>
      <c r="E66">
        <f>VLOOKUP(TRIM(A66),Tabla2[],2,FALSE)</f>
        <v>13.513999999999999</v>
      </c>
      <c r="F66">
        <f>VLOOKUP(A66,Tabla2[],3,FALSE)</f>
        <v>9.8569999999999993</v>
      </c>
      <c r="G66" t="str">
        <f>VLOOKUP(A66,Tabla4[],3,FALSE)</f>
        <v>15.195,4</v>
      </c>
      <c r="H66">
        <f>VLOOKUP(A66,Tabla3[],3,FALSE)</f>
        <v>10.092000000000001</v>
      </c>
      <c r="I66">
        <f>VLOOKUP(A66,Tabla16[],2,FALSE)</f>
        <v>6.35</v>
      </c>
      <c r="J66">
        <f>VLOOKUP(A66,Tabla17[],3,FALSE)</f>
        <v>2.8000000000000001E-2</v>
      </c>
      <c r="K66">
        <f>VLOOKUP(A66,Tabla17[],4,FALSE)</f>
        <v>0.29199999999999998</v>
      </c>
      <c r="L66">
        <f>VLOOKUP(A66,Tabla17[],5,FALSE)</f>
        <v>0.68100000000000005</v>
      </c>
      <c r="M66">
        <f>VLOOKUP(A66,Tabla17[],6,FALSE)</f>
        <v>1166</v>
      </c>
      <c r="N66" t="str">
        <f>VLOOKUP(A66,Tabla17[],7,FALSE)</f>
        <v>12 162</v>
      </c>
      <c r="O66" t="str">
        <f>VLOOKUP(A66,Tabla17[],8,FALSE)</f>
        <v>28 364</v>
      </c>
      <c r="P66" t="e">
        <f>VLOOKUP(A66,Tabla110[],2,FALSE)</f>
        <v>#N/A</v>
      </c>
      <c r="Q66" t="e">
        <f>VLOOKUP(A66,Tabla110[],3,FALSE)</f>
        <v>#N/A</v>
      </c>
      <c r="R66">
        <f>VLOOKUP(A66,Tabla29[],2,FALSE)</f>
        <v>10.577999999999999</v>
      </c>
      <c r="S66">
        <f>VLOOKUP(A66,Tabla29[],3,FALSE)</f>
        <v>40</v>
      </c>
      <c r="T66">
        <f>VLOOKUP(A66,Tabla18[],3,FALSE)</f>
        <v>78.7</v>
      </c>
    </row>
    <row r="67" spans="1:20" x14ac:dyDescent="0.25">
      <c r="A67" s="2" t="s">
        <v>130</v>
      </c>
      <c r="B67" t="str">
        <f>VLOOKUP(A67,Tabla1[],2,FALSE)</f>
        <v>5.166.000.000</v>
      </c>
      <c r="C67" t="str">
        <f>VLOOKUP(A67,Tabla1[],3,FALSE)</f>
        <v>3,61%</v>
      </c>
      <c r="D67">
        <f>VLOOKUP(A67,Tabla1[],4,FALSE)</f>
        <v>4.4420000000000002</v>
      </c>
      <c r="E67" t="e">
        <f>VLOOKUP(A67,Tabla2[],2,FALSE)</f>
        <v>#N/A</v>
      </c>
      <c r="F67" t="e">
        <f>VLOOKUP(A67,Tabla2[],3,FALSE)</f>
        <v>#N/A</v>
      </c>
      <c r="G67" t="e">
        <f>VLOOKUP(A67,Tabla4[],3,FALSE)</f>
        <v>#N/A</v>
      </c>
      <c r="H67" t="e">
        <f>VLOOKUP(A67,Tabla3[],3,FALSE)</f>
        <v>#N/A</v>
      </c>
      <c r="I67" t="e">
        <f>VLOOKUP(A67,Tabla16[],2,FALSE)</f>
        <v>#N/A</v>
      </c>
      <c r="J67" t="e">
        <f>VLOOKUP(A67,Tabla17[],3,FALSE)</f>
        <v>#N/A</v>
      </c>
      <c r="K67" t="e">
        <f>VLOOKUP(A67,Tabla17[],4,FALSE)</f>
        <v>#N/A</v>
      </c>
      <c r="L67" t="e">
        <f>VLOOKUP(A67,Tabla17[],5,FALSE)</f>
        <v>#N/A</v>
      </c>
      <c r="M67" t="e">
        <f>VLOOKUP(A67,Tabla17[],6,FALSE)</f>
        <v>#N/A</v>
      </c>
      <c r="N67" t="e">
        <f>VLOOKUP(A67,Tabla17[],7,FALSE)</f>
        <v>#N/A</v>
      </c>
      <c r="O67" t="e">
        <f>VLOOKUP(A67,Tabla17[],8,FALSE)</f>
        <v>#N/A</v>
      </c>
      <c r="P67" t="e">
        <f>VLOOKUP(A67,Tabla110[],2,FALSE)</f>
        <v>#N/A</v>
      </c>
      <c r="Q67" t="e">
        <f>VLOOKUP(A67,Tabla110[],3,FALSE)</f>
        <v>#N/A</v>
      </c>
      <c r="R67" t="e">
        <f>VLOOKUP(A67,Tabla29[],2,FALSE)</f>
        <v>#N/A</v>
      </c>
      <c r="S67" t="e">
        <f>VLOOKUP(A67,Tabla29[],3,FALSE)</f>
        <v>#N/A</v>
      </c>
      <c r="T67" t="e">
        <f>VLOOKUP(A67,Tabla18[],3,FALSE)</f>
        <v>#N/A</v>
      </c>
    </row>
    <row r="68" spans="1:20" x14ac:dyDescent="0.25">
      <c r="A68" s="2" t="s">
        <v>218</v>
      </c>
      <c r="B68" t="str">
        <f>VLOOKUP(A68,Tabla1[],2,FALSE)</f>
        <v>109.109.000.000</v>
      </c>
      <c r="C68" t="str">
        <f>VLOOKUP(A68,Tabla1[],3,FALSE)</f>
        <v>9,15%</v>
      </c>
      <c r="D68">
        <f>VLOOKUP(A68,Tabla1[],4,FALSE)</f>
        <v>987</v>
      </c>
      <c r="E68">
        <f>VLOOKUP(A68,Tabla2[],2,FALSE)</f>
        <v>7.3959999999999999</v>
      </c>
      <c r="F68">
        <f>VLOOKUP(A68,Tabla2[],3,FALSE)</f>
        <v>7.633</v>
      </c>
      <c r="G68" t="e">
        <f>VLOOKUP(A68,Tabla4[],3,FALSE)</f>
        <v>#N/A</v>
      </c>
      <c r="H68">
        <f>VLOOKUP(A68,Tabla3[],3,FALSE)</f>
        <v>61.887</v>
      </c>
      <c r="I68" t="str">
        <f>VLOOKUP(A68,Tabla16[],2,FALSE)</f>
        <v>3,50</v>
      </c>
      <c r="J68">
        <f>VLOOKUP(A68,Tabla17[],3,FALSE)</f>
        <v>0.34799999999999998</v>
      </c>
      <c r="K68">
        <f>VLOOKUP(A68,Tabla17[],4,FALSE)</f>
        <v>0.216</v>
      </c>
      <c r="L68">
        <f>VLOOKUP(A68,Tabla17[],5,FALSE)</f>
        <v>0.436</v>
      </c>
      <c r="M68" t="str">
        <f>VLOOKUP(A68,Tabla17[],6,FALSE)</f>
        <v>69 809</v>
      </c>
      <c r="N68" t="str">
        <f>VLOOKUP(A68,Tabla17[],7,FALSE)</f>
        <v>43 330</v>
      </c>
      <c r="O68" t="str">
        <f>VLOOKUP(A68,Tabla17[],8,FALSE)</f>
        <v>87 462</v>
      </c>
      <c r="P68" t="str">
        <f>VLOOKUP(A68,Tabla110[],2,FALSE)</f>
        <v> BIRR DE ETIOPÍA</v>
      </c>
      <c r="Q68">
        <f>VLOOKUP(A68,Tabla110[],3,FALSE)</f>
        <v>1251051</v>
      </c>
      <c r="R68">
        <f>VLOOKUP(A68,Tabla29[],2,FALSE)</f>
        <v>0</v>
      </c>
      <c r="S68">
        <f>VLOOKUP(A68,Tabla29[],3,FALSE)</f>
        <v>48</v>
      </c>
      <c r="T68">
        <f>VLOOKUP(A68,Tabla18[],3,FALSE)</f>
        <v>48.1</v>
      </c>
    </row>
    <row r="69" spans="1:20" x14ac:dyDescent="0.25">
      <c r="A69" s="1" t="s">
        <v>155</v>
      </c>
      <c r="B69" t="str">
        <f>VLOOKUP(A69,Tabla1[],2,FALSE)</f>
        <v>487.161.000.000</v>
      </c>
      <c r="C69" t="str">
        <f>VLOOKUP(A69,Tabla1[],3,FALSE)</f>
        <v>4,40%</v>
      </c>
      <c r="D69">
        <f>VLOOKUP(A69,Tabla1[],4,FALSE)</f>
        <v>4.2699999999999996</v>
      </c>
      <c r="E69">
        <f>VLOOKUP(A69,Tabla2[],2,FALSE)</f>
        <v>51.978000000000002</v>
      </c>
      <c r="F69">
        <f>VLOOKUP(A69,Tabla2[],3,FALSE)</f>
        <v>37.398000000000003</v>
      </c>
      <c r="G69" t="str">
        <f>VLOOKUP(A69,Tabla4[],3,FALSE)</f>
        <v>78.162,9</v>
      </c>
      <c r="H69">
        <f>VLOOKUP(A69,Tabla3[],3,FALSE)</f>
        <v>261.40199999999999</v>
      </c>
      <c r="I69">
        <f>VLOOKUP(A69,Tabla16[],2,FALSE)</f>
        <v>2.23</v>
      </c>
      <c r="J69">
        <f>VLOOKUP(A69,Tabla17[],3,FALSE)</f>
        <v>9.6000000000000002E-2</v>
      </c>
      <c r="K69">
        <f>VLOOKUP(A69,Tabla17[],4,FALSE)</f>
        <v>0.30599999999999999</v>
      </c>
      <c r="L69">
        <f>VLOOKUP(A69,Tabla17[],5,FALSE)</f>
        <v>0.59799999999999998</v>
      </c>
      <c r="M69" t="str">
        <f>VLOOKUP(A69,Tabla17[],6,FALSE)</f>
        <v>84 211</v>
      </c>
      <c r="N69" t="str">
        <f>VLOOKUP(A69,Tabla17[],7,FALSE)</f>
        <v>268 423</v>
      </c>
      <c r="O69" t="str">
        <f>VLOOKUP(A69,Tabla17[],8,FALSE)</f>
        <v>524 566</v>
      </c>
      <c r="P69" t="str">
        <f>VLOOKUP(A69,Tabla110[],2,FALSE)</f>
        <v> PESO FILIPINO</v>
      </c>
      <c r="Q69">
        <f>VLOOKUP(A69,Tabla110[],3,FALSE)</f>
        <v>57942</v>
      </c>
      <c r="R69">
        <f>VLOOKUP(A69,Tabla29[],2,FALSE)</f>
        <v>3.4049999999999998</v>
      </c>
      <c r="S69">
        <f>VLOOKUP(A69,Tabla29[],3,FALSE)</f>
        <v>40</v>
      </c>
      <c r="T69">
        <f>VLOOKUP(A69,Tabla18[],3,FALSE)</f>
        <v>62.9</v>
      </c>
    </row>
    <row r="70" spans="1:20" x14ac:dyDescent="0.25">
      <c r="A70" s="1" t="s">
        <v>3</v>
      </c>
      <c r="B70" t="str">
        <f>VLOOKUP(A70,Tabla1[],2,FALSE)</f>
        <v>316.860.000.000</v>
      </c>
      <c r="C70" t="str">
        <f>VLOOKUP(A70,Tabla1[],3,FALSE)</f>
        <v>0,17%</v>
      </c>
      <c r="D70">
        <f>VLOOKUP(A70,Tabla1[],4,FALSE)</f>
        <v>56.463999999999999</v>
      </c>
      <c r="E70">
        <f>VLOOKUP(TRIM(A70),Tabla2[],2,FALSE)</f>
        <v>41.219000000000001</v>
      </c>
      <c r="F70">
        <f>VLOOKUP(A70,Tabla2[],3,FALSE)</f>
        <v>46.725999999999999</v>
      </c>
      <c r="G70" t="str">
        <f>VLOOKUP(A70,Tabla4[],3,FALSE)</f>
        <v>126.101,6</v>
      </c>
      <c r="H70">
        <f>VLOOKUP(A70,Tabla3[],3,FALSE)</f>
        <v>245.304</v>
      </c>
      <c r="I70">
        <f>VLOOKUP(A70,Tabla16[],2,FALSE)</f>
        <v>7.16</v>
      </c>
      <c r="J70">
        <f>VLOOKUP(A70,Tabla17[],3,FALSE)</f>
        <v>2.7E-2</v>
      </c>
      <c r="K70">
        <f>VLOOKUP(A70,Tabla17[],4,FALSE)</f>
        <v>0.28199999999999997</v>
      </c>
      <c r="L70">
        <f>VLOOKUP(A70,Tabla17[],5,FALSE)</f>
        <v>0.69099999999999995</v>
      </c>
      <c r="M70">
        <f>VLOOKUP(A70,Tabla17[],6,FALSE)</f>
        <v>6612</v>
      </c>
      <c r="N70" t="str">
        <f>VLOOKUP(A70,Tabla17[],7,FALSE)</f>
        <v>69 062</v>
      </c>
      <c r="O70" t="str">
        <f>VLOOKUP(A70,Tabla17[],8,FALSE)</f>
        <v>169 226</v>
      </c>
      <c r="P70" t="e">
        <f>VLOOKUP(A70,Tabla110[],2,FALSE)</f>
        <v>#N/A</v>
      </c>
      <c r="Q70" t="e">
        <f>VLOOKUP(A70,Tabla110[],3,FALSE)</f>
        <v>#N/A</v>
      </c>
      <c r="R70">
        <f>VLOOKUP(A70,Tabla29[],2,FALSE)</f>
        <v>0</v>
      </c>
      <c r="S70">
        <f>VLOOKUP(A70,Tabla29[],3,FALSE)</f>
        <v>40</v>
      </c>
      <c r="T70">
        <f>VLOOKUP(A70,Tabla18[],3,FALSE)</f>
        <v>76.599999999999994</v>
      </c>
    </row>
    <row r="71" spans="1:20" x14ac:dyDescent="0.25">
      <c r="A71" s="2" t="s">
        <v>118</v>
      </c>
      <c r="B71" t="str">
        <f>VLOOKUP(A71,Tabla1[],2,FALSE)</f>
        <v>6.041.000.000</v>
      </c>
      <c r="C71" t="str">
        <f>VLOOKUP(A71,Tabla1[],3,FALSE)</f>
        <v>3,19%</v>
      </c>
      <c r="D71">
        <f>VLOOKUP(A71,Tabla1[],4,FALSE)</f>
        <v>6.508</v>
      </c>
      <c r="E71">
        <f>VLOOKUP(A71,Tabla2[],2,FALSE)</f>
        <v>1.329</v>
      </c>
      <c r="F71">
        <f>VLOOKUP(A71,Tabla2[],3,FALSE)</f>
        <v>754</v>
      </c>
      <c r="G71" t="str">
        <f>VLOOKUP(A71,Tabla4[],3,FALSE)</f>
        <v>1.113,6</v>
      </c>
      <c r="H71">
        <f>VLOOKUP(A71,Tabla3[],3,FALSE)</f>
        <v>4.5780000000000003</v>
      </c>
      <c r="I71">
        <f>VLOOKUP(A71,Tabla16[],2,FALSE)</f>
        <v>4.33</v>
      </c>
      <c r="J71">
        <f>VLOOKUP(A71,Tabla17[],3,FALSE)</f>
        <v>0.13500000000000001</v>
      </c>
      <c r="K71">
        <f>VLOOKUP(A71,Tabla17[],4,FALSE)</f>
        <v>0.17399999999999999</v>
      </c>
      <c r="L71">
        <f>VLOOKUP(A71,Tabla17[],5,FALSE)</f>
        <v>0.69099999999999995</v>
      </c>
      <c r="M71">
        <f>VLOOKUP(A71,Tabla17[],6,FALSE)</f>
        <v>1165</v>
      </c>
      <c r="N71">
        <f>VLOOKUP(A71,Tabla17[],7,FALSE)</f>
        <v>1501</v>
      </c>
      <c r="O71">
        <f>VLOOKUP(A71,Tabla17[],8,FALSE)</f>
        <v>5963</v>
      </c>
      <c r="P71" t="e">
        <f>VLOOKUP(A71,Tabla110[],2,FALSE)</f>
        <v>#N/A</v>
      </c>
      <c r="Q71" t="e">
        <f>VLOOKUP(A71,Tabla110[],3,FALSE)</f>
        <v>#N/A</v>
      </c>
      <c r="R71">
        <f>VLOOKUP(A71,Tabla29[],2,FALSE)</f>
        <v>4.8230000000000004</v>
      </c>
      <c r="S71">
        <f>VLOOKUP(A71,Tabla29[],3,FALSE)</f>
        <v>48</v>
      </c>
      <c r="T71">
        <f>VLOOKUP(A71,Tabla18[],3,FALSE)</f>
        <v>59.5</v>
      </c>
    </row>
    <row r="72" spans="1:20" x14ac:dyDescent="0.25">
      <c r="A72" s="1" t="s">
        <v>23</v>
      </c>
      <c r="B72" t="str">
        <f>VLOOKUP(A72,Tabla1[],2,FALSE)</f>
        <v>3.368.925.000.000</v>
      </c>
      <c r="C72" t="str">
        <f>VLOOKUP(A72,Tabla1[],3,FALSE)</f>
        <v>0,93%</v>
      </c>
      <c r="D72">
        <f>VLOOKUP(A72,Tabla1[],4,FALSE)</f>
        <v>48.93</v>
      </c>
      <c r="E72">
        <f>VLOOKUP(TRIM(A72),Tabla2[],2,FALSE)</f>
        <v>400.10399999999998</v>
      </c>
      <c r="F72">
        <f>VLOOKUP(A72,Tabla2[],3,FALSE)</f>
        <v>340.43599999999998</v>
      </c>
      <c r="G72" t="str">
        <f>VLOOKUP(A72,Tabla4[],3,FALSE)</f>
        <v>1.373.597,5</v>
      </c>
      <c r="H72" t="str">
        <f>VLOOKUP(A72,Tabla3[],3,FALSE)</f>
        <v>3.576.501</v>
      </c>
      <c r="I72">
        <f>VLOOKUP(A72,Tabla16[],2,FALSE)</f>
        <v>7.32</v>
      </c>
      <c r="J72">
        <f>VLOOKUP(A72,Tabla17[],3,FALSE)</f>
        <v>1.7000000000000001E-2</v>
      </c>
      <c r="K72">
        <f>VLOOKUP(A72,Tabla17[],4,FALSE)</f>
        <v>0.19500000000000001</v>
      </c>
      <c r="L72">
        <f>VLOOKUP(A72,Tabla17[],5,FALSE)</f>
        <v>0.78800000000000003</v>
      </c>
      <c r="M72" t="str">
        <f>VLOOKUP(A72,Tabla17[],6,FALSE)</f>
        <v>48 552</v>
      </c>
      <c r="N72" t="str">
        <f>VLOOKUP(A72,Tabla17[],7,FALSE)</f>
        <v>556 920</v>
      </c>
      <c r="O72" t="str">
        <f>VLOOKUP(A72,Tabla17[],8,FALSE)</f>
        <v>2 250 528</v>
      </c>
      <c r="P72" t="e">
        <f>VLOOKUP(A72,Tabla110[],2,FALSE)</f>
        <v>#N/A</v>
      </c>
      <c r="Q72" t="e">
        <f>VLOOKUP(A72,Tabla110[],3,FALSE)</f>
        <v>#N/A</v>
      </c>
      <c r="R72">
        <f>VLOOKUP(A72,Tabla29[],2,FALSE)</f>
        <v>25.571999999999999</v>
      </c>
      <c r="S72">
        <f>VLOOKUP(A72,Tabla29[],3,FALSE)</f>
        <v>35</v>
      </c>
      <c r="T72">
        <f>VLOOKUP(A72,Tabla18[],3,FALSE)</f>
        <v>64.599999999999994</v>
      </c>
    </row>
    <row r="73" spans="1:20" x14ac:dyDescent="0.25">
      <c r="A73" s="2" t="s">
        <v>84</v>
      </c>
      <c r="B73" t="str">
        <f>VLOOKUP(A73,Tabla1[],2,FALSE)</f>
        <v>21.624.000.000</v>
      </c>
      <c r="C73" t="str">
        <f>VLOOKUP(A73,Tabla1[],3,FALSE)</f>
        <v>2,51%</v>
      </c>
      <c r="D73">
        <f>VLOOKUP(A73,Tabla1[],4,FALSE)</f>
        <v>9.3759999999999994</v>
      </c>
      <c r="E73">
        <f>VLOOKUP(A73,Tabla2[],2,FALSE)</f>
        <v>277</v>
      </c>
      <c r="F73">
        <f>VLOOKUP(A73,Tabla2[],3,FALSE)</f>
        <v>852</v>
      </c>
      <c r="G73" t="str">
        <f>VLOOKUP(A73,Tabla4[],3,FALSE)</f>
        <v>3.141,5</v>
      </c>
      <c r="H73">
        <f>VLOOKUP(A73,Tabla3[],3,FALSE)</f>
        <v>14.159000000000001</v>
      </c>
      <c r="I73" t="str">
        <f>VLOOKUP(A73,Tabla16[],2,FALSE)</f>
        <v>20,36</v>
      </c>
      <c r="J73">
        <f>VLOOKUP(A73,Tabla17[],3,FALSE)</f>
        <v>0.05</v>
      </c>
      <c r="K73">
        <f>VLOOKUP(A73,Tabla17[],4,FALSE)</f>
        <v>0.44700000000000001</v>
      </c>
      <c r="L73">
        <f>VLOOKUP(A73,Tabla17[],5,FALSE)</f>
        <v>0.504</v>
      </c>
      <c r="M73">
        <f>VLOOKUP(A73,Tabla17[],6,FALSE)</f>
        <v>1833</v>
      </c>
      <c r="N73" t="str">
        <f>VLOOKUP(A73,Tabla17[],7,FALSE)</f>
        <v>16 387</v>
      </c>
      <c r="O73" t="str">
        <f>VLOOKUP(A73,Tabla17[],8,FALSE)</f>
        <v>18 477</v>
      </c>
      <c r="P73" t="e">
        <f>VLOOKUP(A73,Tabla110[],2,FALSE)</f>
        <v>#N/A</v>
      </c>
      <c r="Q73" t="e">
        <f>VLOOKUP(A73,Tabla110[],3,FALSE)</f>
        <v>#N/A</v>
      </c>
      <c r="R73">
        <f>VLOOKUP(A73,Tabla29[],2,FALSE)</f>
        <v>3.246</v>
      </c>
      <c r="S73">
        <f>VLOOKUP(A73,Tabla29[],3,FALSE)</f>
        <v>40</v>
      </c>
      <c r="T73">
        <f>VLOOKUP(A73,Tabla18[],3,FALSE)</f>
        <v>56.6</v>
      </c>
    </row>
    <row r="74" spans="1:20" x14ac:dyDescent="0.25">
      <c r="A74" s="2" t="s">
        <v>194</v>
      </c>
      <c r="B74" t="str">
        <f>VLOOKUP(A74,Tabla1[],2,FALSE)</f>
        <v>2.584.000.000</v>
      </c>
      <c r="C74" t="str">
        <f>VLOOKUP(A74,Tabla1[],3,FALSE)</f>
        <v>6,00%</v>
      </c>
      <c r="D74">
        <f>VLOOKUP(A74,Tabla1[],4,FALSE)</f>
        <v>904</v>
      </c>
      <c r="E74">
        <f>VLOOKUP(A74,Tabla2[],2,FALSE)</f>
        <v>357</v>
      </c>
      <c r="F74">
        <f>VLOOKUP(A74,Tabla2[],3,FALSE)</f>
        <v>153</v>
      </c>
      <c r="G74" t="str">
        <f>VLOOKUP(A74,Tabla4[],3,FALSE)</f>
        <v>291,2</v>
      </c>
      <c r="H74">
        <f>VLOOKUP(A74,Tabla3[],3,FALSE)</f>
        <v>1.8009999999999999</v>
      </c>
      <c r="I74">
        <f>VLOOKUP(A74,Tabla16[],2,FALSE)</f>
        <v>6.48</v>
      </c>
      <c r="J74">
        <f>VLOOKUP(A74,Tabla17[],3,FALSE)</f>
        <v>0.20399999999999999</v>
      </c>
      <c r="K74">
        <f>VLOOKUP(A74,Tabla17[],4,FALSE)</f>
        <v>0.14199999999999999</v>
      </c>
      <c r="L74">
        <f>VLOOKUP(A74,Tabla17[],5,FALSE)</f>
        <v>0.65400000000000003</v>
      </c>
      <c r="M74">
        <f>VLOOKUP(A74,Tabla17[],6,FALSE)</f>
        <v>1133</v>
      </c>
      <c r="N74">
        <f>VLOOKUP(A74,Tabla17[],7,FALSE)</f>
        <v>789</v>
      </c>
      <c r="O74">
        <f>VLOOKUP(A74,Tabla17[],8,FALSE)</f>
        <v>3634</v>
      </c>
      <c r="P74" t="str">
        <f>VLOOKUP(A74,Tabla110[],2,FALSE)</f>
        <v> DALISI DE GAMBIA</v>
      </c>
      <c r="Q74">
        <f>VLOOKUP(A74,Tabla110[],3,FALSE)</f>
        <v>72</v>
      </c>
      <c r="R74">
        <f>VLOOKUP(A74,Tabla29[],2,FALSE)</f>
        <v>253</v>
      </c>
      <c r="S74">
        <f>VLOOKUP(A74,Tabla29[],3,FALSE)</f>
        <v>48</v>
      </c>
      <c r="T74">
        <f>VLOOKUP(A74,Tabla18[],3,FALSE)</f>
        <v>56.3</v>
      </c>
    </row>
    <row r="75" spans="1:20" x14ac:dyDescent="0.25">
      <c r="A75" s="1" t="s">
        <v>209</v>
      </c>
      <c r="B75" t="str">
        <f>VLOOKUP(A75,Tabla1[],2,FALSE)</f>
        <v>38.216.000.000</v>
      </c>
      <c r="C75" t="str">
        <f>VLOOKUP(A75,Tabla1[],3,FALSE)</f>
        <v>7,46%</v>
      </c>
      <c r="D75">
        <f>VLOOKUP(A75,Tabla1[],4,FALSE)</f>
        <v>10.346</v>
      </c>
      <c r="E75">
        <f>VLOOKUP(A75,Tabla2[],2,FALSE)</f>
        <v>7.7</v>
      </c>
      <c r="F75">
        <f>VLOOKUP(A75,Tabla2[],3,FALSE)</f>
        <v>3.8220000000000001</v>
      </c>
      <c r="G75" t="str">
        <f>VLOOKUP(A75,Tabla4[],3,FALSE)</f>
        <v>7.510,0</v>
      </c>
      <c r="H75">
        <f>VLOOKUP(A75,Tabla3[],3,FALSE)</f>
        <v>12.191000000000001</v>
      </c>
      <c r="I75">
        <f>VLOOKUP(A75,Tabla16[],2,FALSE)</f>
        <v>11.62</v>
      </c>
      <c r="J75">
        <f>VLOOKUP(A75,Tabla17[],3,FALSE)</f>
        <v>8.2000000000000003E-2</v>
      </c>
      <c r="K75">
        <f>VLOOKUP(A75,Tabla17[],4,FALSE)</f>
        <v>0.23699999999999999</v>
      </c>
      <c r="L75">
        <f>VLOOKUP(A75,Tabla17[],5,FALSE)</f>
        <v>0.67900000000000005</v>
      </c>
      <c r="M75">
        <f>VLOOKUP(A75,Tabla17[],6,FALSE)</f>
        <v>3268</v>
      </c>
      <c r="N75">
        <f>VLOOKUP(A75,Tabla17[],7,FALSE)</f>
        <v>9444</v>
      </c>
      <c r="O75" t="str">
        <f>VLOOKUP(A75,Tabla17[],8,FALSE)</f>
        <v>27 058</v>
      </c>
      <c r="P75" t="str">
        <f>VLOOKUP(A75,Tabla110[],2,FALSE)</f>
        <v> LARI GEORGIANO</v>
      </c>
      <c r="Q75" t="str">
        <f>VLOOKUP(A75,Tabla110[],3,FALSE)</f>
        <v>2,76</v>
      </c>
      <c r="R75">
        <f>VLOOKUP(A75,Tabla29[],2,FALSE)</f>
        <v>93</v>
      </c>
      <c r="S75">
        <f>VLOOKUP(A75,Tabla29[],3,FALSE)</f>
        <v>40</v>
      </c>
      <c r="T75">
        <f>VLOOKUP(A75,Tabla18[],3,FALSE)</f>
        <v>69.599999999999994</v>
      </c>
    </row>
    <row r="76" spans="1:20" x14ac:dyDescent="0.25">
      <c r="A76" s="1" t="s">
        <v>193</v>
      </c>
      <c r="B76" t="str">
        <f>VLOOKUP(A76,Tabla1[],2,FALSE)</f>
        <v>114.708.000.000</v>
      </c>
      <c r="C76" t="str">
        <f>VLOOKUP(A76,Tabla1[],3,FALSE)</f>
        <v>5,95%</v>
      </c>
      <c r="D76">
        <f>VLOOKUP(A76,Tabla1[],4,FALSE)</f>
        <v>3.2709999999999999</v>
      </c>
      <c r="E76">
        <f>VLOOKUP(A76,Tabla2[],2,FALSE)</f>
        <v>8.6620000000000008</v>
      </c>
      <c r="F76">
        <f>VLOOKUP(A76,Tabla2[],3,FALSE)</f>
        <v>12.015000000000001</v>
      </c>
      <c r="G76" t="str">
        <f>VLOOKUP(A76,Tabla4[],3,FALSE)</f>
        <v>12.068,5</v>
      </c>
      <c r="H76">
        <f>VLOOKUP(A76,Tabla3[],3,FALSE)</f>
        <v>63.706000000000003</v>
      </c>
      <c r="I76">
        <f>VLOOKUP(A76,Tabla16[],2,FALSE)</f>
        <v>3.08</v>
      </c>
      <c r="J76">
        <f>VLOOKUP(A76,Tabla17[],3,FALSE)</f>
        <v>0.183</v>
      </c>
      <c r="K76">
        <f>VLOOKUP(A76,Tabla17[],4,FALSE)</f>
        <v>0.245</v>
      </c>
      <c r="L76">
        <f>VLOOKUP(A76,Tabla17[],5,FALSE)</f>
        <v>0.57199999999999995</v>
      </c>
      <c r="M76" t="str">
        <f>VLOOKUP(A76,Tabla17[],6,FALSE)</f>
        <v>24 522</v>
      </c>
      <c r="N76" t="str">
        <f>VLOOKUP(A76,Tabla17[],7,FALSE)</f>
        <v>32 830</v>
      </c>
      <c r="O76" t="str">
        <f>VLOOKUP(A76,Tabla17[],8,FALSE)</f>
        <v>76 648</v>
      </c>
      <c r="P76" t="str">
        <f>VLOOKUP(A76,Tabla110[],2,FALSE)</f>
        <v> CEDI GHANÉS</v>
      </c>
      <c r="Q76" t="str">
        <f>VLOOKUP(A76,Tabla110[],3,FALSE)</f>
        <v>14,65</v>
      </c>
      <c r="R76">
        <f>VLOOKUP(A76,Tabla29[],2,FALSE)</f>
        <v>814</v>
      </c>
      <c r="S76">
        <f>VLOOKUP(A76,Tabla29[],3,FALSE)</f>
        <v>40</v>
      </c>
      <c r="T76">
        <f>VLOOKUP(A76,Tabla18[],3,FALSE)</f>
        <v>57.3</v>
      </c>
    </row>
    <row r="77" spans="1:20" x14ac:dyDescent="0.25">
      <c r="A77" s="2" t="s">
        <v>156</v>
      </c>
      <c r="B77" t="str">
        <f>VLOOKUP(A77,Tabla1[],2,FALSE)</f>
        <v>1.420.000.000</v>
      </c>
      <c r="C77" t="str">
        <f>VLOOKUP(A77,Tabla1[],3,FALSE)</f>
        <v>4,41%</v>
      </c>
      <c r="D77">
        <f>VLOOKUP(A77,Tabla1[],4,FALSE)</f>
        <v>12.21</v>
      </c>
      <c r="E77">
        <f>VLOOKUP(A77,Tabla2[],2,FALSE)</f>
        <v>755</v>
      </c>
      <c r="F77">
        <f>VLOOKUP(A77,Tabla2[],3,FALSE)</f>
        <v>390</v>
      </c>
      <c r="G77" t="e">
        <f>VLOOKUP(A77,Tabla4[],3,FALSE)</f>
        <v>#N/A</v>
      </c>
      <c r="H77">
        <f>VLOOKUP(A77,Tabla3[],3,FALSE)</f>
        <v>970</v>
      </c>
      <c r="I77" t="str">
        <f>VLOOKUP(A77,Tabla16[],2,FALSE)</f>
        <v>8,50</v>
      </c>
      <c r="J77">
        <f>VLOOKUP(A77,Tabla17[],3,FALSE)</f>
        <v>6.8000000000000005E-2</v>
      </c>
      <c r="K77">
        <f>VLOOKUP(A77,Tabla17[],4,FALSE)</f>
        <v>0.155</v>
      </c>
      <c r="L77">
        <f>VLOOKUP(A77,Tabla17[],5,FALSE)</f>
        <v>0.77700000000000002</v>
      </c>
      <c r="M77">
        <f>VLOOKUP(A77,Tabla17[],6,FALSE)</f>
        <v>111</v>
      </c>
      <c r="N77">
        <f>VLOOKUP(A77,Tabla17[],7,FALSE)</f>
        <v>253</v>
      </c>
      <c r="O77">
        <f>VLOOKUP(A77,Tabla17[],8,FALSE)</f>
        <v>1270</v>
      </c>
      <c r="P77" t="e">
        <f>VLOOKUP(A77,Tabla110[],2,FALSE)</f>
        <v>#N/A</v>
      </c>
      <c r="Q77" t="e">
        <f>VLOOKUP(A77,Tabla110[],3,FALSE)</f>
        <v>#N/A</v>
      </c>
      <c r="R77">
        <f>VLOOKUP(A77,Tabla29[],2,FALSE)</f>
        <v>0</v>
      </c>
      <c r="S77">
        <f>VLOOKUP(A77,Tabla29[],3,FALSE)</f>
        <v>40</v>
      </c>
      <c r="T77" t="e">
        <f>VLOOKUP(A77,Tabla18[],3,FALSE)</f>
        <v>#N/A</v>
      </c>
    </row>
    <row r="78" spans="1:20" x14ac:dyDescent="0.25">
      <c r="A78" s="1" t="s">
        <v>65</v>
      </c>
      <c r="B78" t="str">
        <f>VLOOKUP(A78,Tabla1[],2,FALSE)</f>
        <v>280.476.000.000</v>
      </c>
      <c r="C78" t="str">
        <f>VLOOKUP(A78,Tabla1[],3,FALSE)</f>
        <v>2,07%</v>
      </c>
      <c r="D78">
        <f>VLOOKUP(A78,Tabla1[],4,FALSE)</f>
        <v>27.041</v>
      </c>
      <c r="E78">
        <f>VLOOKUP(A78,Tabla2[],2,FALSE)</f>
        <v>55.808999999999997</v>
      </c>
      <c r="F78">
        <f>VLOOKUP(A78,Tabla2[],3,FALSE)</f>
        <v>31.213000000000001</v>
      </c>
      <c r="G78" t="str">
        <f>VLOOKUP(A78,Tabla4[],3,FALSE)</f>
        <v>102.412,6</v>
      </c>
      <c r="H78">
        <f>VLOOKUP(A78,Tabla3[],3,FALSE)</f>
        <v>397.91899999999998</v>
      </c>
      <c r="I78">
        <f>VLOOKUP(A78,Tabla16[],2,FALSE)</f>
        <v>11</v>
      </c>
      <c r="J78">
        <f>VLOOKUP(A78,Tabla17[],3,FALSE)</f>
        <v>4.1000000000000002E-2</v>
      </c>
      <c r="K78">
        <f>VLOOKUP(A78,Tabla17[],4,FALSE)</f>
        <v>0.16900000000000001</v>
      </c>
      <c r="L78">
        <f>VLOOKUP(A78,Tabla17[],5,FALSE)</f>
        <v>0.79100000000000004</v>
      </c>
      <c r="M78" t="str">
        <f>VLOOKUP(A78,Tabla17[],6,FALSE)</f>
        <v>12 271</v>
      </c>
      <c r="N78" t="str">
        <f>VLOOKUP(A78,Tabla17[],7,FALSE)</f>
        <v>50 582</v>
      </c>
      <c r="O78" t="str">
        <f>VLOOKUP(A78,Tabla17[],8,FALSE)</f>
        <v>236 746</v>
      </c>
      <c r="P78" t="e">
        <f>VLOOKUP(A78,Tabla110[],2,FALSE)</f>
        <v>#N/A</v>
      </c>
      <c r="Q78" t="e">
        <f>VLOOKUP(A78,Tabla110[],3,FALSE)</f>
        <v>#N/A</v>
      </c>
      <c r="R78">
        <f>VLOOKUP(A78,Tabla29[],2,FALSE)</f>
        <v>13.738</v>
      </c>
      <c r="S78">
        <f>VLOOKUP(A78,Tabla29[],3,FALSE)</f>
        <v>40</v>
      </c>
      <c r="T78">
        <f>VLOOKUP(A78,Tabla18[],3,FALSE)</f>
        <v>63.2</v>
      </c>
    </row>
    <row r="79" spans="1:20" x14ac:dyDescent="0.25">
      <c r="A79" s="1" t="s">
        <v>21</v>
      </c>
      <c r="B79" t="str">
        <f>VLOOKUP(A79,Tabla1[],2,FALSE)</f>
        <v>3.326.544.174</v>
      </c>
      <c r="C79" t="str">
        <f>VLOOKUP(A79,Tabla1[],3,FALSE)</f>
        <v>0,87%</v>
      </c>
      <c r="D79">
        <f>VLOOKUP(A79,Tabla1[],4,FALSE)</f>
        <v>58.499000000000002</v>
      </c>
      <c r="E79" t="e">
        <f>VLOOKUP(TRIM(A79),Tabla2[],2,FALSE)</f>
        <v>#N/A</v>
      </c>
      <c r="F79" t="e">
        <f>VLOOKUP(A79,Tabla2[],3,FALSE)</f>
        <v>#N/A</v>
      </c>
      <c r="G79" t="e">
        <f>VLOOKUP(A79,Tabla4[],3,FALSE)</f>
        <v>#N/A</v>
      </c>
      <c r="H79" t="e">
        <f>VLOOKUP(A79,Tabla3[],3,FALSE)</f>
        <v>#N/A</v>
      </c>
      <c r="I79" t="str">
        <f>VLOOKUP(A79,Tabla16[],2,FALSE)</f>
        <v>3,70</v>
      </c>
      <c r="J79">
        <f>VLOOKUP(A79,Tabla17[],3,FALSE)</f>
        <v>0.159</v>
      </c>
      <c r="K79">
        <f>VLOOKUP(A79,Tabla17[],4,FALSE)</f>
        <v>0.10100000000000001</v>
      </c>
      <c r="L79">
        <f>VLOOKUP(A79,Tabla17[],5,FALSE)</f>
        <v>0.73899999999999999</v>
      </c>
      <c r="M79">
        <f>VLOOKUP(A79,Tabla17[],6,FALSE)</f>
        <v>384</v>
      </c>
      <c r="N79">
        <f>VLOOKUP(A79,Tabla17[],7,FALSE)</f>
        <v>244</v>
      </c>
      <c r="O79">
        <f>VLOOKUP(A79,Tabla17[],8,FALSE)</f>
        <v>1783</v>
      </c>
      <c r="P79" t="e">
        <f>VLOOKUP(A79,Tabla110[],2,FALSE)</f>
        <v>#N/A</v>
      </c>
      <c r="Q79" t="e">
        <f>VLOOKUP(A79,Tabla110[],3,FALSE)</f>
        <v>#N/A</v>
      </c>
      <c r="R79" t="e">
        <f>VLOOKUP(A79,Tabla29[],2,FALSE)</f>
        <v>#N/A</v>
      </c>
      <c r="S79" t="e">
        <f>VLOOKUP(A79,Tabla29[],3,FALSE)</f>
        <v>#N/A</v>
      </c>
      <c r="T79" t="e">
        <f>VLOOKUP(A79,Tabla18[],3,FALSE)</f>
        <v>#N/A</v>
      </c>
    </row>
    <row r="80" spans="1:20" x14ac:dyDescent="0.25">
      <c r="A80" s="1" t="s">
        <v>179</v>
      </c>
      <c r="B80" t="str">
        <f>VLOOKUP(A80,Tabla1[],2,FALSE)</f>
        <v>6.910.000.000</v>
      </c>
      <c r="C80" t="str">
        <f>VLOOKUP(A80,Tabla1[],3,FALSE)</f>
        <v>5,10%</v>
      </c>
      <c r="D80">
        <f>VLOOKUP(A80,Tabla1[],4,FALSE)</f>
        <v>41.832999999999998</v>
      </c>
      <c r="E80" t="e">
        <f>VLOOKUP(A80,Tabla2[],2,FALSE)</f>
        <v>#N/A</v>
      </c>
      <c r="F80" t="e">
        <f>VLOOKUP(A80,Tabla2[],3,FALSE)</f>
        <v>#N/A</v>
      </c>
      <c r="G80" t="e">
        <f>VLOOKUP(A80,Tabla4[],3,FALSE)</f>
        <v>#N/A</v>
      </c>
      <c r="H80" t="e">
        <f>VLOOKUP(A80,Tabla3[],3,FALSE)</f>
        <v>#N/A</v>
      </c>
      <c r="I80">
        <f>VLOOKUP(A80,Tabla16[],2,FALSE)</f>
        <v>5.42</v>
      </c>
      <c r="J80" t="e">
        <f>VLOOKUP(A80,Tabla17[],3,FALSE)</f>
        <v>#N/A</v>
      </c>
      <c r="K80" t="e">
        <f>VLOOKUP(A80,Tabla17[],4,FALSE)</f>
        <v>#N/A</v>
      </c>
      <c r="L80" t="e">
        <f>VLOOKUP(A80,Tabla17[],5,FALSE)</f>
        <v>#N/A</v>
      </c>
      <c r="M80" t="e">
        <f>VLOOKUP(A80,Tabla17[],6,FALSE)</f>
        <v>#N/A</v>
      </c>
      <c r="N80" t="e">
        <f>VLOOKUP(A80,Tabla17[],7,FALSE)</f>
        <v>#N/A</v>
      </c>
      <c r="O80" t="e">
        <f>VLOOKUP(A80,Tabla17[],8,FALSE)</f>
        <v>#N/A</v>
      </c>
      <c r="P80" t="e">
        <f>VLOOKUP(A80,Tabla110[],2,FALSE)</f>
        <v>#N/A</v>
      </c>
      <c r="Q80" t="e">
        <f>VLOOKUP(A80,Tabla110[],3,FALSE)</f>
        <v>#N/A</v>
      </c>
      <c r="R80" t="e">
        <f>VLOOKUP(A80,Tabla29[],2,FALSE)</f>
        <v>#N/A</v>
      </c>
      <c r="S80" t="e">
        <f>VLOOKUP(A80,Tabla29[],3,FALSE)</f>
        <v>#N/A</v>
      </c>
      <c r="T80" t="e">
        <f>VLOOKUP(A80,Tabla18[],3,FALSE)</f>
        <v>#N/A</v>
      </c>
    </row>
    <row r="81" spans="1:20" x14ac:dyDescent="0.25">
      <c r="A81" s="2" t="s">
        <v>144</v>
      </c>
      <c r="B81" t="str">
        <f>VLOOKUP(A81,Tabla1[],2,FALSE)</f>
        <v>121.113.000.000</v>
      </c>
      <c r="C81" t="str">
        <f>VLOOKUP(A81,Tabla1[],3,FALSE)</f>
        <v>4,12%</v>
      </c>
      <c r="D81">
        <f>VLOOKUP(A81,Tabla1[],4,FALSE)</f>
        <v>6.4889999999999999</v>
      </c>
      <c r="E81">
        <f>VLOOKUP(A81,Tabla2[],2,FALSE)</f>
        <v>4.6680000000000001</v>
      </c>
      <c r="F81">
        <f>VLOOKUP(A81,Tabla2[],3,FALSE)</f>
        <v>6.4450000000000003</v>
      </c>
      <c r="G81" t="str">
        <f>VLOOKUP(A81,Tabla4[],3,FALSE)</f>
        <v>14.634,2</v>
      </c>
      <c r="H81">
        <f>VLOOKUP(A81,Tabla3[],3,FALSE)</f>
        <v>29.794</v>
      </c>
      <c r="I81">
        <f>VLOOKUP(A81,Tabla16[],2,FALSE)</f>
        <v>2.71</v>
      </c>
      <c r="J81">
        <f>VLOOKUP(A81,Tabla17[],3,FALSE)</f>
        <v>0.13300000000000001</v>
      </c>
      <c r="K81">
        <f>VLOOKUP(A81,Tabla17[],4,FALSE)</f>
        <v>0.23400000000000001</v>
      </c>
      <c r="L81">
        <f>VLOOKUP(A81,Tabla17[],5,FALSE)</f>
        <v>0.63200000000000001</v>
      </c>
      <c r="M81" t="str">
        <f>VLOOKUP(A81,Tabla17[],6,FALSE)</f>
        <v>18 367</v>
      </c>
      <c r="N81" t="str">
        <f>VLOOKUP(A81,Tabla17[],7,FALSE)</f>
        <v>32 315</v>
      </c>
      <c r="O81" t="str">
        <f>VLOOKUP(A81,Tabla17[],8,FALSE)</f>
        <v>87 279</v>
      </c>
      <c r="P81" t="str">
        <f>VLOOKUP(A81,Tabla110[],2,FALSE)</f>
        <v> QUETZAL</v>
      </c>
      <c r="Q81" t="str">
        <f>VLOOKUP(A81,Tabla110[],3,FALSE)</f>
        <v>7,69</v>
      </c>
      <c r="R81">
        <f>VLOOKUP(A81,Tabla29[],2,FALSE)</f>
        <v>3.9239999999999999</v>
      </c>
      <c r="S81">
        <f>VLOOKUP(A81,Tabla29[],3,FALSE)</f>
        <v>48</v>
      </c>
      <c r="T81">
        <f>VLOOKUP(A81,Tabla18[],3,FALSE)</f>
        <v>63.5</v>
      </c>
    </row>
    <row r="82" spans="1:20" x14ac:dyDescent="0.25">
      <c r="A82" s="1" t="s">
        <v>201</v>
      </c>
      <c r="B82" t="str">
        <f>VLOOKUP(A82,Tabla1[],2,FALSE)</f>
        <v>27.215.000.000</v>
      </c>
      <c r="C82" t="str">
        <f>VLOOKUP(A82,Tabla1[],3,FALSE)</f>
        <v>6,69%</v>
      </c>
      <c r="D82">
        <f>VLOOKUP(A82,Tabla1[],4,FALSE)</f>
        <v>1.722</v>
      </c>
      <c r="E82">
        <f>VLOOKUP(A82,Tabla2[],2,FALSE)</f>
        <v>143</v>
      </c>
      <c r="F82">
        <f>VLOOKUP(A82,Tabla2[],3,FALSE)</f>
        <v>3.2829999999999999</v>
      </c>
      <c r="G82" t="str">
        <f>VLOOKUP(A82,Tabla4[],3,FALSE)</f>
        <v>3.295,0</v>
      </c>
      <c r="H82">
        <f>VLOOKUP(A82,Tabla3[],3,FALSE)</f>
        <v>11.832000000000001</v>
      </c>
      <c r="I82">
        <f>VLOOKUP(A82,Tabla16[],2,FALSE)</f>
        <v>5.3</v>
      </c>
      <c r="J82">
        <f>VLOOKUP(A82,Tabla17[],3,FALSE)</f>
        <v>0.19800000000000001</v>
      </c>
      <c r="K82">
        <f>VLOOKUP(A82,Tabla17[],4,FALSE)</f>
        <v>0.32100000000000001</v>
      </c>
      <c r="L82">
        <f>VLOOKUP(A82,Tabla17[],5,FALSE)</f>
        <v>0.48099999999999998</v>
      </c>
      <c r="M82">
        <f>VLOOKUP(A82,Tabla17[],6,FALSE)</f>
        <v>5538</v>
      </c>
      <c r="N82">
        <f>VLOOKUP(A82,Tabla17[],7,FALSE)</f>
        <v>8978</v>
      </c>
      <c r="O82" t="str">
        <f>VLOOKUP(A82,Tabla17[],8,FALSE)</f>
        <v>13 454</v>
      </c>
      <c r="P82" t="str">
        <f>VLOOKUP(A82,Tabla110[],2,FALSE)</f>
        <v> FRANCO DE GUINEA</v>
      </c>
      <c r="Q82">
        <f>VLOOKUP(A82,Tabla110[],3,FALSE)</f>
        <v>8600</v>
      </c>
      <c r="R82">
        <f>VLOOKUP(A82,Tabla29[],2,FALSE)</f>
        <v>0</v>
      </c>
      <c r="S82">
        <f>VLOOKUP(A82,Tabla29[],3,FALSE)</f>
        <v>48</v>
      </c>
      <c r="T82">
        <f>VLOOKUP(A82,Tabla18[],3,FALSE)</f>
        <v>53.1</v>
      </c>
    </row>
    <row r="83" spans="1:20" x14ac:dyDescent="0.25">
      <c r="A83" s="2" t="s">
        <v>198</v>
      </c>
      <c r="B83" t="str">
        <f>VLOOKUP(A83,Tabla1[],2,FALSE)</f>
        <v>12.484.000.000</v>
      </c>
      <c r="C83" t="str">
        <f>VLOOKUP(A83,Tabla1[],3,FALSE)</f>
        <v>−6,36%</v>
      </c>
      <c r="D83">
        <f>VLOOKUP(A83,Tabla1[],4,FALSE)</f>
        <v>7.6280000000000001</v>
      </c>
      <c r="E83">
        <f>VLOOKUP(A83,Tabla2[],2,FALSE)</f>
        <v>5</v>
      </c>
      <c r="F83">
        <f>VLOOKUP(A83,Tabla2[],3,FALSE)</f>
        <v>185</v>
      </c>
      <c r="G83" t="str">
        <f>VLOOKUP(A83,Tabla4[],3,FALSE)</f>
        <v>866,9</v>
      </c>
      <c r="H83">
        <f>VLOOKUP(A83,Tabla3[],3,FALSE)</f>
        <v>4.8230000000000004</v>
      </c>
      <c r="I83" t="str">
        <f>VLOOKUP(A83,Tabla16[],2,FALSE)</f>
        <v>8,67</v>
      </c>
      <c r="J83">
        <f>VLOOKUP(A83,Tabla17[],3,FALSE)</f>
        <v>2.5000000000000001E-2</v>
      </c>
      <c r="K83">
        <f>VLOOKUP(A83,Tabla17[],4,FALSE)</f>
        <v>0.54600000000000004</v>
      </c>
      <c r="L83">
        <f>VLOOKUP(A83,Tabla17[],5,FALSE)</f>
        <v>0.42899999999999999</v>
      </c>
      <c r="M83">
        <f>VLOOKUP(A83,Tabla17[],6,FALSE)</f>
        <v>788</v>
      </c>
      <c r="N83" t="str">
        <f>VLOOKUP(A83,Tabla17[],7,FALSE)</f>
        <v>17 210</v>
      </c>
      <c r="O83" t="str">
        <f>VLOOKUP(A83,Tabla17[],8,FALSE)</f>
        <v>13 522</v>
      </c>
      <c r="P83" t="e">
        <f>VLOOKUP(A83,Tabla110[],2,FALSE)</f>
        <v>#N/A</v>
      </c>
      <c r="Q83" t="e">
        <f>VLOOKUP(A83,Tabla110[],3,FALSE)</f>
        <v>#N/A</v>
      </c>
      <c r="R83">
        <f>VLOOKUP(A83,Tabla29[],2,FALSE)</f>
        <v>2.7919999999999998</v>
      </c>
      <c r="S83">
        <f>VLOOKUP(A83,Tabla29[],3,FALSE)</f>
        <v>48</v>
      </c>
      <c r="T83">
        <f>VLOOKUP(A83,Tabla18[],3,FALSE)</f>
        <v>47.4</v>
      </c>
    </row>
    <row r="84" spans="1:20" x14ac:dyDescent="0.25">
      <c r="A84" s="1" t="s">
        <v>183</v>
      </c>
      <c r="B84" t="str">
        <f>VLOOKUP(A84,Tabla1[],2,FALSE)</f>
        <v>2.648.000.000</v>
      </c>
      <c r="C84" t="str">
        <f>VLOOKUP(A84,Tabla1[],3,FALSE)</f>
        <v>5,50%</v>
      </c>
      <c r="D84">
        <f>VLOOKUP(A84,Tabla1[],4,FALSE)</f>
        <v>1.3109999999999999</v>
      </c>
      <c r="E84" t="e">
        <f>VLOOKUP(A84,Tabla2[],2,FALSE)</f>
        <v>#N/A</v>
      </c>
      <c r="F84" t="e">
        <f>VLOOKUP(A84,Tabla2[],3,FALSE)</f>
        <v>#N/A</v>
      </c>
      <c r="G84" t="e">
        <f>VLOOKUP(A84,Tabla4[],3,FALSE)</f>
        <v>#N/A</v>
      </c>
      <c r="H84">
        <f>VLOOKUP(A84,Tabla3[],3,FALSE)</f>
        <v>1.7969999999999999</v>
      </c>
      <c r="I84" t="e">
        <f>VLOOKUP(A84,Tabla16[],2,FALSE)</f>
        <v>#N/A</v>
      </c>
      <c r="J84">
        <f>VLOOKUP(A84,Tabla17[],3,FALSE)</f>
        <v>0.5</v>
      </c>
      <c r="K84">
        <f>VLOOKUP(A84,Tabla17[],4,FALSE)</f>
        <v>0.13100000000000001</v>
      </c>
      <c r="L84">
        <f>VLOOKUP(A84,Tabla17[],5,FALSE)</f>
        <v>0.36899999999999999</v>
      </c>
      <c r="M84">
        <f>VLOOKUP(A84,Tabla17[],6,FALSE)</f>
        <v>1586</v>
      </c>
      <c r="N84">
        <f>VLOOKUP(A84,Tabla17[],7,FALSE)</f>
        <v>415</v>
      </c>
      <c r="O84">
        <f>VLOOKUP(A84,Tabla17[],8,FALSE)</f>
        <v>1170</v>
      </c>
      <c r="P84" t="e">
        <f>VLOOKUP(A84,Tabla110[],2,FALSE)</f>
        <v>#N/A</v>
      </c>
      <c r="Q84" t="e">
        <f>VLOOKUP(A84,Tabla110[],3,FALSE)</f>
        <v>#N/A</v>
      </c>
      <c r="R84" t="e">
        <f>VLOOKUP(A84,Tabla29[],2,FALSE)</f>
        <v>#N/A</v>
      </c>
      <c r="S84" t="e">
        <f>VLOOKUP(A84,Tabla29[],3,FALSE)</f>
        <v>#N/A</v>
      </c>
      <c r="T84">
        <f>VLOOKUP(A84,Tabla18[],3,FALSE)</f>
        <v>43.2</v>
      </c>
    </row>
    <row r="85" spans="1:20" x14ac:dyDescent="0.25">
      <c r="A85" s="2" t="s">
        <v>62</v>
      </c>
      <c r="B85" t="str">
        <f>VLOOKUP(A85,Tabla1[],2,FALSE)</f>
        <v>27.097.000.000</v>
      </c>
      <c r="C85" t="str">
        <f>VLOOKUP(A85,Tabla1[],3,FALSE)</f>
        <v>19,31%</v>
      </c>
      <c r="D85">
        <f>VLOOKUP(A85,Tabla1[],4,FALSE)</f>
        <v>26.994</v>
      </c>
      <c r="E85">
        <f>VLOOKUP(A85,Tabla2[],2,FALSE)</f>
        <v>529</v>
      </c>
      <c r="F85">
        <f>VLOOKUP(A85,Tabla2[],3,FALSE)</f>
        <v>4.9539999999999997</v>
      </c>
      <c r="G85" t="str">
        <f>VLOOKUP(A85,Tabla4[],3,FALSE)</f>
        <v>1.961,4</v>
      </c>
      <c r="H85">
        <f>VLOOKUP(A85,Tabla3[],3,FALSE)</f>
        <v>4.5090000000000003</v>
      </c>
      <c r="I85">
        <f>VLOOKUP(A85,Tabla16[],2,FALSE)</f>
        <v>12.43</v>
      </c>
      <c r="J85">
        <f>VLOOKUP(A85,Tabla17[],3,FALSE)</f>
        <v>0.154</v>
      </c>
      <c r="K85">
        <f>VLOOKUP(A85,Tabla17[],4,FALSE)</f>
        <v>0.153</v>
      </c>
      <c r="L85">
        <f>VLOOKUP(A85,Tabla17[],5,FALSE)</f>
        <v>0.69299999999999995</v>
      </c>
      <c r="M85">
        <f>VLOOKUP(A85,Tabla17[],6,FALSE)</f>
        <v>970</v>
      </c>
      <c r="N85">
        <f>VLOOKUP(A85,Tabla17[],7,FALSE)</f>
        <v>964</v>
      </c>
      <c r="O85">
        <f>VLOOKUP(A85,Tabla17[],8,FALSE)</f>
        <v>4367</v>
      </c>
      <c r="P85" t="str">
        <f>VLOOKUP(A85,Tabla110[],2,FALSE)</f>
        <v> DÓLAR DE GUYANA</v>
      </c>
      <c r="Q85" t="str">
        <f>VLOOKUP(A85,Tabla110[],3,FALSE)</f>
        <v>207,98</v>
      </c>
      <c r="R85">
        <f>VLOOKUP(A85,Tabla29[],2,FALSE)</f>
        <v>2.0150000000000001</v>
      </c>
      <c r="S85">
        <f>VLOOKUP(A85,Tabla29[],3,FALSE)</f>
        <v>40</v>
      </c>
      <c r="T85">
        <f>VLOOKUP(A85,Tabla18[],3,FALSE)</f>
        <v>58.7</v>
      </c>
    </row>
    <row r="86" spans="1:20" x14ac:dyDescent="0.25">
      <c r="A86" s="1" t="s">
        <v>91</v>
      </c>
      <c r="B86" t="str">
        <f>VLOOKUP(A86,Tabla1[],2,FALSE)</f>
        <v>32.102.000.000</v>
      </c>
      <c r="C86" t="str">
        <f>VLOOKUP(A86,Tabla1[],3,FALSE)</f>
        <v>−2,71%</v>
      </c>
      <c r="D86">
        <f>VLOOKUP(A86,Tabla1[],4,FALSE)</f>
        <v>2.5569999999999999</v>
      </c>
      <c r="E86">
        <f>VLOOKUP(A86,Tabla2[],2,FALSE)</f>
        <v>139</v>
      </c>
      <c r="F86">
        <f>VLOOKUP(A86,Tabla2[],3,FALSE)</f>
        <v>588</v>
      </c>
      <c r="G86" t="e">
        <f>VLOOKUP(A86,Tabla4[],3,FALSE)</f>
        <v>#N/A</v>
      </c>
      <c r="H86">
        <f>VLOOKUP(A86,Tabla3[],3,FALSE)</f>
        <v>3.92</v>
      </c>
      <c r="I86">
        <f>VLOOKUP(A86,Tabla16[],2,FALSE)</f>
        <v>14.62</v>
      </c>
      <c r="J86">
        <f>VLOOKUP(A86,Tabla17[],3,FALSE)</f>
        <v>0.221</v>
      </c>
      <c r="K86">
        <f>VLOOKUP(A86,Tabla17[],4,FALSE)</f>
        <v>0.20300000000000001</v>
      </c>
      <c r="L86">
        <f>VLOOKUP(A86,Tabla17[],5,FALSE)</f>
        <v>0.57599999999999996</v>
      </c>
      <c r="M86">
        <f>VLOOKUP(A86,Tabla17[],6,FALSE)</f>
        <v>4413</v>
      </c>
      <c r="N86">
        <f>VLOOKUP(A86,Tabla17[],7,FALSE)</f>
        <v>4054</v>
      </c>
      <c r="O86" t="str">
        <f>VLOOKUP(A86,Tabla17[],8,FALSE)</f>
        <v>11 503</v>
      </c>
      <c r="P86" t="e">
        <f>VLOOKUP(A86,Tabla110[],2,FALSE)</f>
        <v>#N/A</v>
      </c>
      <c r="Q86" t="e">
        <f>VLOOKUP(A86,Tabla110[],3,FALSE)</f>
        <v>#N/A</v>
      </c>
      <c r="R86">
        <f>VLOOKUP(A86,Tabla29[],2,FALSE)</f>
        <v>1.014</v>
      </c>
      <c r="S86">
        <f>VLOOKUP(A86,Tabla29[],3,FALSE)</f>
        <v>48</v>
      </c>
      <c r="T86">
        <f>VLOOKUP(A86,Tabla18[],3,FALSE)</f>
        <v>46.1</v>
      </c>
    </row>
    <row r="87" spans="1:20" x14ac:dyDescent="0.25">
      <c r="A87" s="2" t="s">
        <v>132</v>
      </c>
      <c r="B87" t="str">
        <f>VLOOKUP(A87,Tabla1[],2,FALSE)</f>
        <v>39.694.000.000</v>
      </c>
      <c r="C87" t="str">
        <f>VLOOKUP(A87,Tabla1[],3,FALSE)</f>
        <v>3,70%</v>
      </c>
      <c r="D87">
        <f>VLOOKUP(A87,Tabla1[],4,FALSE)</f>
        <v>3.6070000000000002</v>
      </c>
      <c r="E87">
        <f>VLOOKUP(A87,Tabla2[],2,FALSE)</f>
        <v>3.661</v>
      </c>
      <c r="F87">
        <f>VLOOKUP(A87,Tabla2[],3,FALSE)</f>
        <v>3.448</v>
      </c>
      <c r="G87" t="str">
        <f>VLOOKUP(A87,Tabla4[],3,FALSE)</f>
        <v>7.186,5</v>
      </c>
      <c r="H87">
        <f>VLOOKUP(A87,Tabla3[],3,FALSE)</f>
        <v>17.463999999999999</v>
      </c>
      <c r="I87">
        <f>VLOOKUP(A87,Tabla16[],2,FALSE)</f>
        <v>6.06</v>
      </c>
      <c r="J87">
        <f>VLOOKUP(A87,Tabla17[],3,FALSE)</f>
        <v>0.14199999999999999</v>
      </c>
      <c r="K87">
        <f>VLOOKUP(A87,Tabla17[],4,FALSE)</f>
        <v>0.28799999999999998</v>
      </c>
      <c r="L87">
        <f>VLOOKUP(A87,Tabla17[],5,FALSE)</f>
        <v>0.56999999999999995</v>
      </c>
      <c r="M87">
        <f>VLOOKUP(A87,Tabla17[],6,FALSE)</f>
        <v>6575</v>
      </c>
      <c r="N87" t="str">
        <f>VLOOKUP(A87,Tabla17[],7,FALSE)</f>
        <v>13 334</v>
      </c>
      <c r="O87" t="str">
        <f>VLOOKUP(A87,Tabla17[],8,FALSE)</f>
        <v>26 391</v>
      </c>
      <c r="P87" t="str">
        <f>VLOOKUP(A87,Tabla110[],2,FALSE)</f>
        <v> LEMPIRA DE HONDURAS</v>
      </c>
      <c r="Q87">
        <f>VLOOKUP(A87,Tabla110[],3,FALSE)</f>
        <v>253152</v>
      </c>
      <c r="R87">
        <f>VLOOKUP(A87,Tabla29[],2,FALSE)</f>
        <v>4.8419999999999996</v>
      </c>
      <c r="S87">
        <f>VLOOKUP(A87,Tabla29[],3,FALSE)</f>
        <v>44</v>
      </c>
      <c r="T87">
        <f>VLOOKUP(A87,Tabla18[],3,FALSE)</f>
        <v>59.1</v>
      </c>
    </row>
    <row r="88" spans="1:20" x14ac:dyDescent="0.25">
      <c r="A88" s="2" t="s">
        <v>124</v>
      </c>
      <c r="B88" t="str">
        <f>VLOOKUP(A88,Tabla1[],2,FALSE)</f>
        <v>427.310.000.000</v>
      </c>
      <c r="C88" t="str">
        <f>VLOOKUP(A88,Tabla1[],3,FALSE)</f>
        <v>3,49%</v>
      </c>
      <c r="D88">
        <f>VLOOKUP(A88,Tabla1[],4,FALSE)</f>
        <v>56.893000000000001</v>
      </c>
      <c r="E88">
        <f>VLOOKUP(A88,Tabla2[],2,FALSE)</f>
        <v>108.76300000000001</v>
      </c>
      <c r="F88">
        <f>VLOOKUP(A88,Tabla2[],3,FALSE)</f>
        <v>90.278999999999996</v>
      </c>
      <c r="G88" t="str">
        <f>VLOOKUP(A88,Tabla4[],3,FALSE)</f>
        <v>50.856,9</v>
      </c>
      <c r="H88">
        <f>VLOOKUP(A88,Tabla3[],3,FALSE)</f>
        <v>38.503</v>
      </c>
      <c r="I88" t="str">
        <f>VLOOKUP(A88,Tabla16[],2,FALSE)</f>
        <v>3,93</v>
      </c>
      <c r="J88">
        <f>VLOOKUP(A88,Tabla17[],3,FALSE)</f>
        <v>1E-3</v>
      </c>
      <c r="K88">
        <f>VLOOKUP(A88,Tabla17[],4,FALSE)</f>
        <v>7.5999999999999998E-2</v>
      </c>
      <c r="L88">
        <f>VLOOKUP(A88,Tabla17[],5,FALSE)</f>
        <v>0.92300000000000004</v>
      </c>
      <c r="M88">
        <f>VLOOKUP(A88,Tabla17[],6,FALSE)</f>
        <v>456</v>
      </c>
      <c r="N88" t="str">
        <f>VLOOKUP(A88,Tabla17[],7,FALSE)</f>
        <v>34 648</v>
      </c>
      <c r="O88" t="str">
        <f>VLOOKUP(A88,Tabla17[],8,FALSE)</f>
        <v>420 796</v>
      </c>
      <c r="P88" t="str">
        <f>VLOOKUP(A88,Tabla110[],2,FALSE)</f>
        <v> DÓLAR DE HONG KONG</v>
      </c>
      <c r="Q88">
        <f>VLOOKUP(A88,Tabla110[],3,FALSE)</f>
        <v>77676</v>
      </c>
      <c r="R88">
        <f>VLOOKUP(A88,Tabla29[],2,FALSE)</f>
        <v>10.708</v>
      </c>
      <c r="S88">
        <f>VLOOKUP(A88,Tabla29[],3,FALSE)</f>
        <v>40</v>
      </c>
      <c r="T88" t="e">
        <f>VLOOKUP(A88,Tabla18[],3,FALSE)</f>
        <v>#N/A</v>
      </c>
    </row>
    <row r="89" spans="1:20" x14ac:dyDescent="0.25">
      <c r="A89" s="2" t="s">
        <v>6</v>
      </c>
      <c r="B89" t="str">
        <f>VLOOKUP(A89,Tabla1[],2,FALSE)</f>
        <v>246.891.000.000</v>
      </c>
      <c r="C89" t="str">
        <f>VLOOKUP(A89,Tabla1[],3,FALSE)</f>
        <v>0,41%</v>
      </c>
      <c r="D89">
        <f>VLOOKUP(A89,Tabla1[],4,FALSE)</f>
        <v>25.826000000000001</v>
      </c>
      <c r="E89">
        <f>VLOOKUP(TRIM(A89),Tabla2[],2,FALSE)</f>
        <v>38.302999999999997</v>
      </c>
      <c r="F89">
        <f>VLOOKUP(A89,Tabla2[],3,FALSE)</f>
        <v>27.393999999999998</v>
      </c>
      <c r="G89" t="str">
        <f>VLOOKUP(A89,Tabla4[],3,FALSE)</f>
        <v>76.513,9</v>
      </c>
      <c r="H89">
        <f>VLOOKUP(A89,Tabla3[],3,FALSE)</f>
        <v>163.845</v>
      </c>
      <c r="I89">
        <f>VLOOKUP(A89,Tabla16[],2,FALSE)</f>
        <v>4.13</v>
      </c>
      <c r="J89">
        <f>VLOOKUP(A89,Tabla17[],3,FALSE)</f>
        <v>3.9E-2</v>
      </c>
      <c r="K89">
        <f>VLOOKUP(A89,Tabla17[],4,FALSE)</f>
        <v>0.313</v>
      </c>
      <c r="L89">
        <f>VLOOKUP(A89,Tabla17[],5,FALSE)</f>
        <v>0.64800000000000002</v>
      </c>
      <c r="M89" t="str">
        <f>VLOOKUP(A89,Tabla17[],6,FALSE)</f>
        <v>11 294</v>
      </c>
      <c r="N89" t="str">
        <f>VLOOKUP(A89,Tabla17[],7,FALSE)</f>
        <v>90 645</v>
      </c>
      <c r="O89" t="str">
        <f>VLOOKUP(A89,Tabla17[],8,FALSE)</f>
        <v>187 661</v>
      </c>
      <c r="P89" t="str">
        <f>VLOOKUP(A89,Tabla110[],2,FALSE)</f>
        <v> FORINT HÚNGARO</v>
      </c>
      <c r="Q89" t="str">
        <f>VLOOKUP(A89,Tabla110[],3,FALSE)</f>
        <v>394,39</v>
      </c>
      <c r="R89">
        <f>VLOOKUP(A89,Tabla29[],2,FALSE)</f>
        <v>9.1839999999999993</v>
      </c>
      <c r="S89">
        <f>VLOOKUP(A89,Tabla29[],3,FALSE)</f>
        <v>40</v>
      </c>
      <c r="T89">
        <f>VLOOKUP(A89,Tabla18[],3,FALSE)</f>
        <v>62.5</v>
      </c>
    </row>
    <row r="90" spans="1:20" x14ac:dyDescent="0.25">
      <c r="A90" s="2" t="s">
        <v>212</v>
      </c>
      <c r="B90" t="str">
        <f>VLOOKUP(A90,Tabla1[],2,FALSE)</f>
        <v>3.916.312.000.000</v>
      </c>
      <c r="C90" t="str">
        <f>VLOOKUP(A90,Tabla1[],3,FALSE)</f>
        <v>7,62%</v>
      </c>
      <c r="D90">
        <f>VLOOKUP(A90,Tabla1[],4,FALSE)</f>
        <v>2.6749999999999998</v>
      </c>
      <c r="E90">
        <f>VLOOKUP(A90,Tabla2[],2,FALSE)</f>
        <v>374.87900000000002</v>
      </c>
      <c r="F90">
        <f>VLOOKUP(A90,Tabla2[],3,FALSE)</f>
        <v>196.67699999999999</v>
      </c>
      <c r="G90" t="e">
        <f>VLOOKUP(A90,Tabla4[],3,FALSE)</f>
        <v>#N/A</v>
      </c>
      <c r="H90" t="str">
        <f>VLOOKUP(A90,Tabla3[],3,FALSE)</f>
        <v>2.955.574</v>
      </c>
      <c r="I90">
        <f>VLOOKUP(A90,Tabla16[],2,FALSE)</f>
        <v>4.17</v>
      </c>
      <c r="J90">
        <f>VLOOKUP(A90,Tabla17[],3,FALSE)</f>
        <v>0.154</v>
      </c>
      <c r="K90">
        <f>VLOOKUP(A90,Tabla17[],4,FALSE)</f>
        <v>0.23</v>
      </c>
      <c r="L90">
        <f>VLOOKUP(A90,Tabla17[],5,FALSE)</f>
        <v>0.61499999999999999</v>
      </c>
      <c r="M90" t="str">
        <f>VLOOKUP(A90,Tabla17[],6,FALSE)</f>
        <v>1 458 996</v>
      </c>
      <c r="N90" t="str">
        <f>VLOOKUP(A90,Tabla17[],7,FALSE)</f>
        <v>2 179 020</v>
      </c>
      <c r="O90" t="str">
        <f>VLOOKUP(A90,Tabla17[],8,FALSE)</f>
        <v>5 826 510</v>
      </c>
      <c r="P90" t="str">
        <f>VLOOKUP(A90,Tabla110[],2,FALSE)</f>
        <v> RUPIA INDIA</v>
      </c>
      <c r="Q90">
        <f>VLOOKUP(A90,Tabla110[],3,FALSE)</f>
        <v>85254</v>
      </c>
      <c r="R90">
        <f>VLOOKUP(A90,Tabla29[],2,FALSE)</f>
        <v>674</v>
      </c>
      <c r="S90">
        <f>VLOOKUP(A90,Tabla29[],3,FALSE)</f>
        <v>48</v>
      </c>
      <c r="T90">
        <f>VLOOKUP(A90,Tabla18[],3,FALSE)</f>
        <v>52.5</v>
      </c>
    </row>
    <row r="91" spans="1:20" x14ac:dyDescent="0.25">
      <c r="A91" s="2" t="s">
        <v>180</v>
      </c>
      <c r="B91" t="str">
        <f>VLOOKUP(A91,Tabla1[],2,FALSE)</f>
        <v>1.445.642.000.000</v>
      </c>
      <c r="C91" t="str">
        <f>VLOOKUP(A91,Tabla1[],3,FALSE)</f>
        <v>5,11%</v>
      </c>
      <c r="D91">
        <f>VLOOKUP(A91,Tabla1[],4,FALSE)</f>
        <v>5.0819999999999999</v>
      </c>
      <c r="E91">
        <f>VLOOKUP(A91,Tabla2[],2,FALSE)</f>
        <v>39.029000000000003</v>
      </c>
      <c r="F91">
        <f>VLOOKUP(A91,Tabla2[],3,FALSE)</f>
        <v>57.511000000000003</v>
      </c>
      <c r="G91" t="str">
        <f>VLOOKUP(A91,Tabla4[],3,FALSE)</f>
        <v>165.195,2</v>
      </c>
      <c r="H91">
        <f>VLOOKUP(A91,Tabla3[],3,FALSE)</f>
        <v>560.83199999999999</v>
      </c>
      <c r="I91">
        <f>VLOOKUP(A91,Tabla16[],2,FALSE)</f>
        <v>3.42</v>
      </c>
      <c r="J91">
        <f>VLOOKUP(A91,Tabla17[],3,FALSE)</f>
        <v>0.13700000000000001</v>
      </c>
      <c r="K91">
        <f>VLOOKUP(A91,Tabla17[],4,FALSE)</f>
        <v>0.41</v>
      </c>
      <c r="L91">
        <f>VLOOKUP(A91,Tabla17[],5,FALSE)</f>
        <v>0.45400000000000001</v>
      </c>
      <c r="M91" t="str">
        <f>VLOOKUP(A91,Tabla17[],6,FALSE)</f>
        <v>445 250</v>
      </c>
      <c r="N91" t="str">
        <f>VLOOKUP(A91,Tabla17[],7,FALSE)</f>
        <v>1 332 500</v>
      </c>
      <c r="O91" t="str">
        <f>VLOOKUP(A91,Tabla17[],8,FALSE)</f>
        <v>1 475 500</v>
      </c>
      <c r="P91" t="str">
        <f>VLOOKUP(A91,Tabla110[],2,FALSE)</f>
        <v> RUPIA DE INDONESIA</v>
      </c>
      <c r="Q91" t="str">
        <f>VLOOKUP(A91,Tabla110[],3,FALSE)</f>
        <v>16142,65</v>
      </c>
      <c r="R91">
        <f>VLOOKUP(A91,Tabla29[],2,FALSE)</f>
        <v>2.4489999999999998</v>
      </c>
      <c r="S91">
        <f>VLOOKUP(A91,Tabla29[],3,FALSE)</f>
        <v>40</v>
      </c>
      <c r="T91">
        <f>VLOOKUP(A91,Tabla18[],3,FALSE)</f>
        <v>65.099999999999994</v>
      </c>
    </row>
    <row r="92" spans="1:20" x14ac:dyDescent="0.25">
      <c r="A92" s="1" t="s">
        <v>7</v>
      </c>
      <c r="B92" t="str">
        <f>VLOOKUP(A92,Tabla1[],2,FALSE)</f>
        <v>264.167.000.000</v>
      </c>
      <c r="C92" t="str">
        <f>VLOOKUP(A92,Tabla1[],3,FALSE)</f>
        <v>−0,41%</v>
      </c>
      <c r="D92">
        <f>VLOOKUP(A92,Tabla1[],4,FALSE)</f>
        <v>5.8029999999999999</v>
      </c>
      <c r="E92" t="e">
        <f>VLOOKUP(TRIM(A92),Tabla2[],2,FALSE)</f>
        <v>#N/A</v>
      </c>
      <c r="F92" t="e">
        <f>VLOOKUP(A92,Tabla2[],3,FALSE)</f>
        <v>#N/A</v>
      </c>
      <c r="G92" t="e">
        <f>VLOOKUP(A92,Tabla4[],3,FALSE)</f>
        <v>#N/A</v>
      </c>
      <c r="H92">
        <f>VLOOKUP(A92,Tabla3[],3,FALSE)</f>
        <v>129.51300000000001</v>
      </c>
      <c r="I92" t="e">
        <f>VLOOKUP(A92,Tabla16[],2,FALSE)</f>
        <v>#N/A</v>
      </c>
      <c r="J92">
        <f>VLOOKUP(A92,Tabla17[],3,FALSE)</f>
        <v>3.3000000000000002E-2</v>
      </c>
      <c r="K92">
        <f>VLOOKUP(A92,Tabla17[],4,FALSE)</f>
        <v>0.51</v>
      </c>
      <c r="L92">
        <f>VLOOKUP(A92,Tabla17[],5,FALSE)</f>
        <v>0.45800000000000002</v>
      </c>
      <c r="M92" t="str">
        <f>VLOOKUP(A92,Tabla17[],6,FALSE)</f>
        <v>21 427</v>
      </c>
      <c r="N92" t="str">
        <f>VLOOKUP(A92,Tabla17[],7,FALSE)</f>
        <v>331 143</v>
      </c>
      <c r="O92" t="str">
        <f>VLOOKUP(A92,Tabla17[],8,FALSE)</f>
        <v>297 379</v>
      </c>
      <c r="P92" t="str">
        <f>VLOOKUP(A92,Tabla110[],2,FALSE)</f>
        <v> DINAR DE IRAK</v>
      </c>
      <c r="Q92">
        <f>VLOOKUP(A92,Tabla110[],3,FALSE)</f>
        <v>1309</v>
      </c>
      <c r="R92" t="e">
        <f>VLOOKUP(A92,Tabla29[],2,FALSE)</f>
        <v>#N/A</v>
      </c>
      <c r="S92" t="e">
        <f>VLOOKUP(A92,Tabla29[],3,FALSE)</f>
        <v>#N/A</v>
      </c>
      <c r="T92" t="e">
        <f>VLOOKUP(A92,Tabla18[],3,FALSE)</f>
        <v>#N/A</v>
      </c>
    </row>
    <row r="93" spans="1:20" x14ac:dyDescent="0.25">
      <c r="A93" s="2" t="s">
        <v>44</v>
      </c>
      <c r="B93" t="str">
        <f>VLOOKUP(A93,Tabla1[],2,FALSE)</f>
        <v>371.196.000.000</v>
      </c>
      <c r="C93" t="str">
        <f>VLOOKUP(A93,Tabla1[],3,FALSE)</f>
        <v>−1,52%</v>
      </c>
      <c r="D93">
        <f>VLOOKUP(A93,Tabla1[],4,FALSE)</f>
        <v>4.2640000000000002</v>
      </c>
      <c r="E93">
        <f>VLOOKUP(A93,Tabla2[],2,FALSE)</f>
        <v>1.3819999999999999</v>
      </c>
      <c r="F93">
        <f>VLOOKUP(A93,Tabla2[],3,FALSE)</f>
        <v>2.2959999999999998</v>
      </c>
      <c r="G93" t="e">
        <f>VLOOKUP(A93,Tabla4[],3,FALSE)</f>
        <v>#N/A</v>
      </c>
      <c r="H93">
        <f>VLOOKUP(A93,Tabla3[],3,FALSE)</f>
        <v>138.934</v>
      </c>
      <c r="I93">
        <f>VLOOKUP(A93,Tabla16[],2,FALSE)</f>
        <v>9.1</v>
      </c>
      <c r="J93">
        <f>VLOOKUP(A93,Tabla17[],3,FALSE)</f>
        <v>9.6000000000000002E-2</v>
      </c>
      <c r="K93">
        <f>VLOOKUP(A93,Tabla17[],4,FALSE)</f>
        <v>0.35299999999999998</v>
      </c>
      <c r="L93">
        <f>VLOOKUP(A93,Tabla17[],5,FALSE)</f>
        <v>0.55000000000000004</v>
      </c>
      <c r="M93" t="str">
        <f>VLOOKUP(A93,Tabla17[],6,FALSE)</f>
        <v>157 440</v>
      </c>
      <c r="N93" t="str">
        <f>VLOOKUP(A93,Tabla17[],7,FALSE)</f>
        <v>578 920</v>
      </c>
      <c r="O93" t="str">
        <f>VLOOKUP(A93,Tabla17[],8,FALSE)</f>
        <v>902 000</v>
      </c>
      <c r="P93" t="e">
        <f>VLOOKUP(A93,Tabla110[],2,FALSE)</f>
        <v>#N/A</v>
      </c>
      <c r="Q93" t="e">
        <f>VLOOKUP(A93,Tabla110[],3,FALSE)</f>
        <v>#N/A</v>
      </c>
      <c r="R93">
        <f>VLOOKUP(A93,Tabla29[],2,FALSE)</f>
        <v>1.7470000000000001</v>
      </c>
      <c r="S93">
        <f>VLOOKUP(A93,Tabla29[],3,FALSE)</f>
        <v>44</v>
      </c>
      <c r="T93">
        <f>VLOOKUP(A93,Tabla18[],3,FALSE)</f>
        <v>41.8</v>
      </c>
    </row>
    <row r="94" spans="1:20" x14ac:dyDescent="0.25">
      <c r="A94" s="2" t="s">
        <v>58</v>
      </c>
      <c r="B94" t="str">
        <f>VLOOKUP(A94,Tabla1[],2,FALSE)</f>
        <v>718.140.000.000</v>
      </c>
      <c r="C94" t="str">
        <f>VLOOKUP(A94,Tabla1[],3,FALSE)</f>
        <v>12,34%</v>
      </c>
      <c r="D94">
        <f>VLOOKUP(A94,Tabla1[],4,FALSE)</f>
        <v>130.65199999999999</v>
      </c>
      <c r="E94">
        <f>VLOOKUP(A94,Tabla2[],2,FALSE)</f>
        <v>431.46800000000002</v>
      </c>
      <c r="F94">
        <f>VLOOKUP(A94,Tabla2[],3,FALSE)</f>
        <v>418.63299999999998</v>
      </c>
      <c r="G94" t="str">
        <f>VLOOKUP(A94,Tabla4[],3,FALSE)</f>
        <v>132.152,3</v>
      </c>
      <c r="H94">
        <f>VLOOKUP(A94,Tabla3[],3,FALSE)</f>
        <v>236.08099999999999</v>
      </c>
      <c r="I94">
        <f>VLOOKUP(A94,Tabla16[],2,FALSE)</f>
        <v>4.34</v>
      </c>
      <c r="J94">
        <f>VLOOKUP(A94,Tabla17[],3,FALSE)</f>
        <v>1.2E-2</v>
      </c>
      <c r="K94">
        <f>VLOOKUP(A94,Tabla17[],4,FALSE)</f>
        <v>0.38600000000000001</v>
      </c>
      <c r="L94">
        <f>VLOOKUP(A94,Tabla17[],5,FALSE)</f>
        <v>0.60199999999999998</v>
      </c>
      <c r="M94">
        <f>VLOOKUP(A94,Tabla17[],6,FALSE)</f>
        <v>4240</v>
      </c>
      <c r="N94" t="str">
        <f>VLOOKUP(A94,Tabla17[],7,FALSE)</f>
        <v>136 374</v>
      </c>
      <c r="O94" t="str">
        <f>VLOOKUP(A94,Tabla17[],8,FALSE)</f>
        <v>212 687</v>
      </c>
      <c r="P94" t="e">
        <f>VLOOKUP(A94,Tabla110[],2,FALSE)</f>
        <v>#N/A</v>
      </c>
      <c r="Q94" t="e">
        <f>VLOOKUP(A94,Tabla110[],3,FALSE)</f>
        <v>#N/A</v>
      </c>
      <c r="R94">
        <f>VLOOKUP(A94,Tabla29[],2,FALSE)</f>
        <v>37.801000000000002</v>
      </c>
      <c r="S94">
        <f>VLOOKUP(A94,Tabla29[],3,FALSE)</f>
        <v>39</v>
      </c>
      <c r="T94">
        <f>VLOOKUP(A94,Tabla18[],3,FALSE)</f>
        <v>83.3</v>
      </c>
    </row>
    <row r="95" spans="1:20" x14ac:dyDescent="0.25">
      <c r="A95" s="1" t="s">
        <v>145</v>
      </c>
      <c r="B95" t="str">
        <f>VLOOKUP(A95,Tabla1[],2,FALSE)</f>
        <v>7.431.257.411</v>
      </c>
      <c r="C95" t="str">
        <f>VLOOKUP(A95,Tabla1[],3,FALSE)</f>
        <v>−4,17%</v>
      </c>
      <c r="D95">
        <f>VLOOKUP(A95,Tabla1[],4,FALSE)</f>
        <v>88.328999999999994</v>
      </c>
      <c r="E95" t="e">
        <f>VLOOKUP(A95,Tabla2[],2,FALSE)</f>
        <v>#N/A</v>
      </c>
      <c r="F95" t="e">
        <f>VLOOKUP(A95,Tabla2[],3,FALSE)</f>
        <v>#N/A</v>
      </c>
      <c r="G95" t="e">
        <f>VLOOKUP(A95,Tabla4[],3,FALSE)</f>
        <v>#N/A</v>
      </c>
      <c r="H95" t="e">
        <f>VLOOKUP(A95,Tabla3[],3,FALSE)</f>
        <v>#N/A</v>
      </c>
      <c r="I95" t="e">
        <f>VLOOKUP(A95,Tabla16[],2,FALSE)</f>
        <v>#N/A</v>
      </c>
      <c r="J95">
        <f>VLOOKUP(A95,Tabla17[],3,FALSE)</f>
        <v>0.01</v>
      </c>
      <c r="K95">
        <f>VLOOKUP(A95,Tabla17[],4,FALSE)</f>
        <v>0.13</v>
      </c>
      <c r="L95">
        <f>VLOOKUP(A95,Tabla17[],5,FALSE)</f>
        <v>0.86</v>
      </c>
      <c r="M95">
        <f>VLOOKUP(A95,Tabla17[],6,FALSE)</f>
        <v>68</v>
      </c>
      <c r="N95">
        <f>VLOOKUP(A95,Tabla17[],7,FALSE)</f>
        <v>883</v>
      </c>
      <c r="O95">
        <f>VLOOKUP(A95,Tabla17[],8,FALSE)</f>
        <v>5841</v>
      </c>
      <c r="P95" t="e">
        <f>VLOOKUP(A95,Tabla110[],2,FALSE)</f>
        <v>#N/A</v>
      </c>
      <c r="Q95" t="e">
        <f>VLOOKUP(A95,Tabla110[],3,FALSE)</f>
        <v>#N/A</v>
      </c>
      <c r="R95" t="e">
        <f>VLOOKUP(A95,Tabla29[],2,FALSE)</f>
        <v>#N/A</v>
      </c>
      <c r="S95" t="e">
        <f>VLOOKUP(A95,Tabla29[],3,FALSE)</f>
        <v>#N/A</v>
      </c>
      <c r="T95" t="e">
        <f>VLOOKUP(A95,Tabla18[],3,FALSE)</f>
        <v>#N/A</v>
      </c>
    </row>
    <row r="96" spans="1:20" x14ac:dyDescent="0.25">
      <c r="A96" s="2" t="s">
        <v>36</v>
      </c>
      <c r="B96" t="str">
        <f>VLOOKUP(A96,Tabla1[],2,FALSE)</f>
        <v>38.583.000.000</v>
      </c>
      <c r="C96" t="str">
        <f>VLOOKUP(A96,Tabla1[],3,FALSE)</f>
        <v>1,28%</v>
      </c>
      <c r="D96">
        <f>VLOOKUP(A96,Tabla1[],4,FALSE)</f>
        <v>99.070999999999998</v>
      </c>
      <c r="E96">
        <f>VLOOKUP(A96,Tabla2[],2,FALSE)</f>
        <v>6.8979999999999997</v>
      </c>
      <c r="F96">
        <f>VLOOKUP(A96,Tabla2[],3,FALSE)</f>
        <v>5.0019999999999998</v>
      </c>
      <c r="G96" t="str">
        <f>VLOOKUP(A96,Tabla4[],3,FALSE)</f>
        <v>12.315,7</v>
      </c>
      <c r="H96">
        <f>VLOOKUP(A96,Tabla3[],3,FALSE)</f>
        <v>19.498000000000001</v>
      </c>
      <c r="I96" t="str">
        <f>VLOOKUP(A96,Tabla16[],2,FALSE)</f>
        <v>3,56</v>
      </c>
      <c r="J96">
        <f>VLOOKUP(A96,Tabla17[],3,FALSE)</f>
        <v>5.8000000000000003E-2</v>
      </c>
      <c r="K96">
        <f>VLOOKUP(A96,Tabla17[],4,FALSE)</f>
        <v>0.19700000000000001</v>
      </c>
      <c r="L96">
        <f>VLOOKUP(A96,Tabla17[],5,FALSE)</f>
        <v>0.746</v>
      </c>
      <c r="M96">
        <f>VLOOKUP(A96,Tabla17[],6,FALSE)</f>
        <v>1054</v>
      </c>
      <c r="N96">
        <f>VLOOKUP(A96,Tabla17[],7,FALSE)</f>
        <v>3581</v>
      </c>
      <c r="O96" t="str">
        <f>VLOOKUP(A96,Tabla17[],8,FALSE)</f>
        <v>13 562</v>
      </c>
      <c r="P96" t="str">
        <f>VLOOKUP(A96,Tabla110[],2,FALSE)</f>
        <v> CORONA ISLANDESA</v>
      </c>
      <c r="Q96" t="str">
        <f>VLOOKUP(A96,Tabla110[],3,FALSE)</f>
        <v>139,39</v>
      </c>
      <c r="R96">
        <f>VLOOKUP(A96,Tabla29[],2,FALSE)</f>
        <v>0</v>
      </c>
      <c r="S96">
        <f>VLOOKUP(A96,Tabla29[],3,FALSE)</f>
        <v>40</v>
      </c>
      <c r="T96">
        <f>VLOOKUP(A96,Tabla18[],3,FALSE)</f>
        <v>75</v>
      </c>
    </row>
    <row r="97" spans="1:20" x14ac:dyDescent="0.25">
      <c r="A97" s="1" t="s">
        <v>151</v>
      </c>
      <c r="B97" t="str">
        <f>VLOOKUP(A97,Tabla1[],2,FALSE)</f>
        <v>7.139.428.558</v>
      </c>
      <c r="C97" t="str">
        <f>VLOOKUP(A97,Tabla1[],3,FALSE)</f>
        <v>4,36%</v>
      </c>
      <c r="D97">
        <f>VLOOKUP(A97,Tabla1[],4,FALSE)</f>
        <v>97.75</v>
      </c>
      <c r="E97">
        <f>VLOOKUP(A97,Tabla2[],2,FALSE)</f>
        <v>4.0460000000000003</v>
      </c>
      <c r="F97">
        <f>VLOOKUP(A97,Tabla2[],3,FALSE)</f>
        <v>1.679</v>
      </c>
      <c r="G97" t="e">
        <f>VLOOKUP(A97,Tabla4[],3,FALSE)</f>
        <v>#N/A</v>
      </c>
      <c r="H97" t="e">
        <f>VLOOKUP(A97,Tabla3[],3,FALSE)</f>
        <v>#N/A</v>
      </c>
      <c r="I97" t="e">
        <f>VLOOKUP(A97,Tabla16[],2,FALSE)</f>
        <v>#N/A</v>
      </c>
      <c r="J97">
        <f>VLOOKUP(A97,Tabla17[],3,FALSE)</f>
        <v>3.0000000000000001E-3</v>
      </c>
      <c r="K97">
        <f>VLOOKUP(A97,Tabla17[],4,FALSE)</f>
        <v>7.3999999999999996E-2</v>
      </c>
      <c r="L97">
        <f>VLOOKUP(A97,Tabla17[],5,FALSE)</f>
        <v>0.92300000000000004</v>
      </c>
      <c r="M97">
        <f>VLOOKUP(A97,Tabla17[],6,FALSE)</f>
        <v>8</v>
      </c>
      <c r="N97">
        <f>VLOOKUP(A97,Tabla17[],7,FALSE)</f>
        <v>186</v>
      </c>
      <c r="O97">
        <f>VLOOKUP(A97,Tabla17[],8,FALSE)</f>
        <v>2314</v>
      </c>
      <c r="P97" t="str">
        <f>VLOOKUP(A97,Tabla110[],2,FALSE)</f>
        <v> DÓLAR DE LAS ISLAS CAIMÁN</v>
      </c>
      <c r="Q97" t="str">
        <f>VLOOKUP(A97,Tabla110[],3,FALSE)</f>
        <v>0,8275</v>
      </c>
      <c r="R97" t="e">
        <f>VLOOKUP(A97,Tabla29[],2,FALSE)</f>
        <v>#N/A</v>
      </c>
      <c r="S97" t="e">
        <f>VLOOKUP(A97,Tabla29[],3,FALSE)</f>
        <v>#N/A</v>
      </c>
      <c r="T97" t="e">
        <f>VLOOKUP(A97,Tabla18[],3,FALSE)</f>
        <v>#N/A</v>
      </c>
    </row>
    <row r="98" spans="1:20" x14ac:dyDescent="0.25">
      <c r="A98" s="1" t="s">
        <v>61</v>
      </c>
      <c r="B98" t="str">
        <f>VLOOKUP(A98,Tabla1[],2,FALSE)</f>
        <v>366.211.548</v>
      </c>
      <c r="C98" t="str">
        <f>VLOOKUP(A98,Tabla1[],3,FALSE)</f>
        <v>19,07%</v>
      </c>
      <c r="D98">
        <f>VLOOKUP(A98,Tabla1[],4,FALSE)</f>
        <v>25.75</v>
      </c>
      <c r="E98" t="e">
        <f>VLOOKUP(A98,Tabla2[],2,FALSE)</f>
        <v>#N/A</v>
      </c>
      <c r="F98" t="e">
        <f>VLOOKUP(A98,Tabla2[],3,FALSE)</f>
        <v>#N/A</v>
      </c>
      <c r="G98" t="e">
        <f>VLOOKUP(A98,Tabla4[],3,FALSE)</f>
        <v>#N/A</v>
      </c>
      <c r="H98" t="e">
        <f>VLOOKUP(A98,Tabla3[],3,FALSE)</f>
        <v>#N/A</v>
      </c>
      <c r="I98" t="e">
        <f>VLOOKUP(A98,Tabla16[],2,FALSE)</f>
        <v>#N/A</v>
      </c>
      <c r="J98" t="e">
        <f>VLOOKUP(A98,Tabla17[],3,FALSE)</f>
        <v>#N/A</v>
      </c>
      <c r="K98" t="e">
        <f>VLOOKUP(A98,Tabla17[],4,FALSE)</f>
        <v>#N/A</v>
      </c>
      <c r="L98" t="e">
        <f>VLOOKUP(A98,Tabla17[],5,FALSE)</f>
        <v>#N/A</v>
      </c>
      <c r="M98" t="e">
        <f>VLOOKUP(A98,Tabla17[],6,FALSE)</f>
        <v>#N/A</v>
      </c>
      <c r="N98" t="e">
        <f>VLOOKUP(A98,Tabla17[],7,FALSE)</f>
        <v>#N/A</v>
      </c>
      <c r="O98" t="e">
        <f>VLOOKUP(A98,Tabla17[],8,FALSE)</f>
        <v>#N/A</v>
      </c>
      <c r="P98" t="e">
        <f>VLOOKUP(A98,Tabla110[],2,FALSE)</f>
        <v>#N/A</v>
      </c>
      <c r="Q98" t="e">
        <f>VLOOKUP(A98,Tabla110[],3,FALSE)</f>
        <v>#N/A</v>
      </c>
      <c r="R98" t="e">
        <f>VLOOKUP(A98,Tabla29[],2,FALSE)</f>
        <v>#N/A</v>
      </c>
      <c r="S98" t="e">
        <f>VLOOKUP(A98,Tabla29[],3,FALSE)</f>
        <v>#N/A</v>
      </c>
      <c r="T98" t="e">
        <f>VLOOKUP(A98,Tabla18[],3,FALSE)</f>
        <v>#N/A</v>
      </c>
    </row>
    <row r="99" spans="1:20" x14ac:dyDescent="0.25">
      <c r="A99" s="2" t="s">
        <v>82</v>
      </c>
      <c r="B99" t="str">
        <f>VLOOKUP(A99,Tabla1[],2,FALSE)</f>
        <v>3.907.323.961</v>
      </c>
      <c r="C99" t="str">
        <f>VLOOKUP(A99,Tabla1[],3,FALSE)</f>
        <v>2,49%</v>
      </c>
      <c r="D99">
        <f>VLOOKUP(A99,Tabla1[],4,FALSE)</f>
        <v>71.774000000000001</v>
      </c>
      <c r="E99">
        <f>VLOOKUP(A99,Tabla2[],2,FALSE)</f>
        <v>207</v>
      </c>
      <c r="F99">
        <f>VLOOKUP(A99,Tabla2[],3,FALSE)</f>
        <v>394</v>
      </c>
      <c r="G99" t="e">
        <f>VLOOKUP(A99,Tabla4[],3,FALSE)</f>
        <v>#N/A</v>
      </c>
      <c r="H99" t="e">
        <f>VLOOKUP(A99,Tabla3[],3,FALSE)</f>
        <v>#N/A</v>
      </c>
      <c r="I99" t="e">
        <f>VLOOKUP(A99,Tabla16[],2,FALSE)</f>
        <v>#N/A</v>
      </c>
      <c r="J99">
        <f>VLOOKUP(A99,Tabla17[],3,FALSE)</f>
        <v>0.18</v>
      </c>
      <c r="K99">
        <f>VLOOKUP(A99,Tabla17[],4,FALSE)</f>
        <v>0.39</v>
      </c>
      <c r="L99">
        <f>VLOOKUP(A99,Tabla17[],5,FALSE)</f>
        <v>0.43</v>
      </c>
      <c r="M99">
        <f>VLOOKUP(A99,Tabla17[],6,FALSE)</f>
        <v>360</v>
      </c>
      <c r="N99">
        <f>VLOOKUP(A99,Tabla17[],7,FALSE)</f>
        <v>780</v>
      </c>
      <c r="O99">
        <f>VLOOKUP(A99,Tabla17[],8,FALSE)</f>
        <v>860</v>
      </c>
      <c r="P99" t="e">
        <f>VLOOKUP(A99,Tabla110[],2,FALSE)</f>
        <v>#N/A</v>
      </c>
      <c r="Q99" t="e">
        <f>VLOOKUP(A99,Tabla110[],3,FALSE)</f>
        <v>#N/A</v>
      </c>
      <c r="R99" t="e">
        <f>VLOOKUP(A99,Tabla29[],2,FALSE)</f>
        <v>#N/A</v>
      </c>
      <c r="S99" t="e">
        <f>VLOOKUP(A99,Tabla29[],3,FALSE)</f>
        <v>#N/A</v>
      </c>
      <c r="T99" t="e">
        <f>VLOOKUP(A99,Tabla18[],3,FALSE)</f>
        <v>#N/A</v>
      </c>
    </row>
    <row r="100" spans="1:20" x14ac:dyDescent="0.25">
      <c r="A100" s="2" t="s">
        <v>60</v>
      </c>
      <c r="B100" t="str">
        <f>VLOOKUP(A100,Tabla1[],2,FALSE)</f>
        <v>1.096.000.000</v>
      </c>
      <c r="C100" t="str">
        <f>VLOOKUP(A100,Tabla1[],3,FALSE)</f>
        <v>16,64%</v>
      </c>
      <c r="D100">
        <f>VLOOKUP(A100,Tabla1[],4,FALSE)</f>
        <v>23.786000000000001</v>
      </c>
      <c r="E100" t="e">
        <f>VLOOKUP(A100,Tabla2[],2,FALSE)</f>
        <v>#N/A</v>
      </c>
      <c r="F100" t="e">
        <f>VLOOKUP(A100,Tabla2[],3,FALSE)</f>
        <v>#N/A</v>
      </c>
      <c r="G100" t="e">
        <f>VLOOKUP(A100,Tabla4[],3,FALSE)</f>
        <v>#N/A</v>
      </c>
      <c r="H100" t="e">
        <f>VLOOKUP(A100,Tabla3[],3,FALSE)</f>
        <v>#N/A</v>
      </c>
      <c r="I100" t="e">
        <f>VLOOKUP(A100,Tabla16[],2,FALSE)</f>
        <v>#N/A</v>
      </c>
      <c r="J100">
        <f>VLOOKUP(A100,Tabla17[],3,FALSE)</f>
        <v>1.7000000000000001E-2</v>
      </c>
      <c r="K100">
        <f>VLOOKUP(A100,Tabla17[],4,FALSE)</f>
        <v>0.58099999999999996</v>
      </c>
      <c r="L100">
        <f>VLOOKUP(A100,Tabla17[],5,FALSE)</f>
        <v>0.40200000000000002</v>
      </c>
      <c r="M100">
        <f>VLOOKUP(A100,Tabla17[],6,FALSE)</f>
        <v>21</v>
      </c>
      <c r="N100">
        <f>VLOOKUP(A100,Tabla17[],7,FALSE)</f>
        <v>722</v>
      </c>
      <c r="O100">
        <f>VLOOKUP(A100,Tabla17[],8,FALSE)</f>
        <v>499</v>
      </c>
      <c r="P100" t="e">
        <f>VLOOKUP(A100,Tabla110[],2,FALSE)</f>
        <v>#N/A</v>
      </c>
      <c r="Q100" t="e">
        <f>VLOOKUP(A100,Tabla110[],3,FALSE)</f>
        <v>#N/A</v>
      </c>
      <c r="R100" t="e">
        <f>VLOOKUP(A100,Tabla29[],2,FALSE)</f>
        <v>#N/A</v>
      </c>
      <c r="S100" t="e">
        <f>VLOOKUP(A100,Tabla29[],3,FALSE)</f>
        <v>#N/A</v>
      </c>
      <c r="T100" t="e">
        <f>VLOOKUP(A100,Tabla18[],3,FALSE)</f>
        <v>#N/A</v>
      </c>
    </row>
    <row r="101" spans="1:20" x14ac:dyDescent="0.25">
      <c r="A101" s="1" t="s">
        <v>85</v>
      </c>
      <c r="B101" t="str">
        <f>VLOOKUP(A101,Tabla1[],2,FALSE)</f>
        <v>308.000.000</v>
      </c>
      <c r="C101" t="str">
        <f>VLOOKUP(A101,Tabla1[],3,FALSE)</f>
        <v>2,53%</v>
      </c>
      <c r="D101">
        <f>VLOOKUP(A101,Tabla1[],4,FALSE)</f>
        <v>8.4510000000000005</v>
      </c>
      <c r="E101">
        <f>VLOOKUP(A101,Tabla2[],2,FALSE)</f>
        <v>9</v>
      </c>
      <c r="F101">
        <f>VLOOKUP(A101,Tabla2[],3,FALSE)</f>
        <v>73</v>
      </c>
      <c r="G101" t="str">
        <f>VLOOKUP(A101,Tabla4[],3,FALSE)</f>
        <v>67,2</v>
      </c>
      <c r="H101">
        <f>VLOOKUP(A101,Tabla3[],3,FALSE)</f>
        <v>48</v>
      </c>
      <c r="I101" t="e">
        <f>VLOOKUP(A101,Tabla16[],2,FALSE)</f>
        <v>#N/A</v>
      </c>
      <c r="J101" t="e">
        <f>VLOOKUP(A101,Tabla17[],3,FALSE)</f>
        <v>#N/A</v>
      </c>
      <c r="K101" t="e">
        <f>VLOOKUP(A101,Tabla17[],4,FALSE)</f>
        <v>#N/A</v>
      </c>
      <c r="L101" t="e">
        <f>VLOOKUP(A101,Tabla17[],5,FALSE)</f>
        <v>#N/A</v>
      </c>
      <c r="M101" t="e">
        <f>VLOOKUP(A101,Tabla17[],6,FALSE)</f>
        <v>#N/A</v>
      </c>
      <c r="N101" t="e">
        <f>VLOOKUP(A101,Tabla17[],7,FALSE)</f>
        <v>#N/A</v>
      </c>
      <c r="O101" t="e">
        <f>VLOOKUP(A101,Tabla17[],8,FALSE)</f>
        <v>#N/A</v>
      </c>
      <c r="P101" t="e">
        <f>VLOOKUP(A101,Tabla110[],2,FALSE)</f>
        <v>#N/A</v>
      </c>
      <c r="Q101" t="e">
        <f>VLOOKUP(A101,Tabla110[],3,FALSE)</f>
        <v>#N/A</v>
      </c>
      <c r="R101">
        <f>VLOOKUP(A101,Tabla29[],2,FALSE)</f>
        <v>4.16</v>
      </c>
      <c r="S101">
        <f>VLOOKUP(A101,Tabla29[],3,FALSE)</f>
        <v>40</v>
      </c>
      <c r="T101" t="e">
        <f>VLOOKUP(A101,Tabla18[],3,FALSE)</f>
        <v>#N/A</v>
      </c>
    </row>
    <row r="102" spans="1:20" x14ac:dyDescent="0.25">
      <c r="A102" s="2" t="s">
        <v>88</v>
      </c>
      <c r="B102" t="str">
        <f>VLOOKUP(A102,Tabla1[],2,FALSE)</f>
        <v>1.704.000.000</v>
      </c>
      <c r="C102" t="str">
        <f>VLOOKUP(A102,Tabla1[],3,FALSE)</f>
        <v>2,68%</v>
      </c>
      <c r="D102">
        <f>VLOOKUP(A102,Tabla1[],4,FALSE)</f>
        <v>2.1349999999999998</v>
      </c>
      <c r="E102">
        <f>VLOOKUP(A102,Tabla2[],2,FALSE)</f>
        <v>115</v>
      </c>
      <c r="F102">
        <f>VLOOKUP(A102,Tabla2[],3,FALSE)</f>
        <v>254</v>
      </c>
      <c r="G102" t="str">
        <f>VLOOKUP(A102,Tabla4[],3,FALSE)</f>
        <v>314,3</v>
      </c>
      <c r="H102">
        <f>VLOOKUP(A102,Tabla3[],3,FALSE)</f>
        <v>243</v>
      </c>
      <c r="I102" t="str">
        <f>VLOOKUP(A102,Tabla16[],2,FALSE)</f>
        <v>1,55</v>
      </c>
      <c r="J102">
        <f>VLOOKUP(A102,Tabla17[],3,FALSE)</f>
        <v>0.34300000000000003</v>
      </c>
      <c r="K102">
        <f>VLOOKUP(A102,Tabla17[],4,FALSE)</f>
        <v>7.5999999999999998E-2</v>
      </c>
      <c r="L102">
        <f>VLOOKUP(A102,Tabla17[],5,FALSE)</f>
        <v>0.58099999999999996</v>
      </c>
      <c r="M102">
        <f>VLOOKUP(A102,Tabla17[],6,FALSE)</f>
        <v>456</v>
      </c>
      <c r="N102">
        <f>VLOOKUP(A102,Tabla17[],7,FALSE)</f>
        <v>101</v>
      </c>
      <c r="O102">
        <f>VLOOKUP(A102,Tabla17[],8,FALSE)</f>
        <v>773</v>
      </c>
      <c r="P102" t="e">
        <f>VLOOKUP(A102,Tabla110[],2,FALSE)</f>
        <v>#N/A</v>
      </c>
      <c r="Q102" t="e">
        <f>VLOOKUP(A102,Tabla110[],3,FALSE)</f>
        <v>#N/A</v>
      </c>
      <c r="R102">
        <f>VLOOKUP(A102,Tabla29[],2,FALSE)</f>
        <v>933</v>
      </c>
      <c r="S102">
        <f>VLOOKUP(A102,Tabla29[],3,FALSE)</f>
        <v>45</v>
      </c>
      <c r="T102">
        <f>VLOOKUP(A102,Tabla18[],3,FALSE)</f>
        <v>53.7</v>
      </c>
    </row>
    <row r="103" spans="1:20" x14ac:dyDescent="0.25">
      <c r="A103" s="1" t="s">
        <v>187</v>
      </c>
      <c r="B103" t="str">
        <f>VLOOKUP(A103,Tabla1[],2,FALSE)</f>
        <v>1.745.378.000</v>
      </c>
      <c r="C103" t="str">
        <f>VLOOKUP(A103,Tabla1[],3,FALSE)</f>
        <v>5,64%</v>
      </c>
      <c r="D103">
        <f>VLOOKUP(A103,Tabla1[],4,FALSE)</f>
        <v>37.506999999999998</v>
      </c>
      <c r="E103">
        <f>VLOOKUP(A103,Tabla2[],2,FALSE)</f>
        <v>821</v>
      </c>
      <c r="F103">
        <f>VLOOKUP(A103,Tabla2[],3,FALSE)</f>
        <v>74</v>
      </c>
      <c r="G103" t="e">
        <f>VLOOKUP(A103,Tabla4[],3,FALSE)</f>
        <v>#N/A</v>
      </c>
      <c r="H103" t="e">
        <f>VLOOKUP(A103,Tabla3[],3,FALSE)</f>
        <v>#N/A</v>
      </c>
      <c r="I103" t="e">
        <f>VLOOKUP(A103,Tabla16[],2,FALSE)</f>
        <v>#N/A</v>
      </c>
      <c r="J103" t="e">
        <f>VLOOKUP(A103,Tabla17[],3,FALSE)</f>
        <v>#N/A</v>
      </c>
      <c r="K103" t="e">
        <f>VLOOKUP(A103,Tabla17[],4,FALSE)</f>
        <v>#N/A</v>
      </c>
      <c r="L103" t="e">
        <f>VLOOKUP(A103,Tabla17[],5,FALSE)</f>
        <v>#N/A</v>
      </c>
      <c r="M103" t="e">
        <f>VLOOKUP(A103,Tabla17[],6,FALSE)</f>
        <v>#N/A</v>
      </c>
      <c r="N103" t="e">
        <f>VLOOKUP(A103,Tabla17[],7,FALSE)</f>
        <v>#N/A</v>
      </c>
      <c r="O103" t="e">
        <f>VLOOKUP(A103,Tabla17[],8,FALSE)</f>
        <v>#N/A</v>
      </c>
      <c r="P103" t="e">
        <f>VLOOKUP(A103,Tabla110[],2,FALSE)</f>
        <v>#N/A</v>
      </c>
      <c r="Q103" t="e">
        <f>VLOOKUP(A103,Tabla110[],3,FALSE)</f>
        <v>#N/A</v>
      </c>
      <c r="R103" t="e">
        <f>VLOOKUP(A103,Tabla29[],2,FALSE)</f>
        <v>#N/A</v>
      </c>
      <c r="S103" t="e">
        <f>VLOOKUP(A103,Tabla29[],3,FALSE)</f>
        <v>#N/A</v>
      </c>
      <c r="T103" t="e">
        <f>VLOOKUP(A103,Tabla18[],3,FALSE)</f>
        <v>#N/A</v>
      </c>
    </row>
    <row r="104" spans="1:20" x14ac:dyDescent="0.25">
      <c r="A104" s="2" t="s">
        <v>94</v>
      </c>
      <c r="B104" t="str">
        <f>VLOOKUP(A104,Tabla1[],2,FALSE)</f>
        <v>1.505.856.107</v>
      </c>
      <c r="C104" t="str">
        <f>VLOOKUP(A104,Tabla1[],3,FALSE)</f>
        <v>2,76%</v>
      </c>
      <c r="D104">
        <f>VLOOKUP(A104,Tabla1[],4,FALSE)</f>
        <v>38.627000000000002</v>
      </c>
      <c r="E104" t="e">
        <f>VLOOKUP(A104,Tabla2[],2,FALSE)</f>
        <v>#N/A</v>
      </c>
      <c r="F104" t="e">
        <f>VLOOKUP(A104,Tabla2[],3,FALSE)</f>
        <v>#N/A</v>
      </c>
      <c r="G104" t="e">
        <f>VLOOKUP(A104,Tabla4[],3,FALSE)</f>
        <v>#N/A</v>
      </c>
      <c r="H104" t="e">
        <f>VLOOKUP(A104,Tabla3[],3,FALSE)</f>
        <v>#N/A</v>
      </c>
      <c r="I104" t="e">
        <f>VLOOKUP(A104,Tabla16[],2,FALSE)</f>
        <v>#N/A</v>
      </c>
      <c r="J104" t="e">
        <f>VLOOKUP(A104,Tabla17[],3,FALSE)</f>
        <v>#N/A</v>
      </c>
      <c r="K104" t="e">
        <f>VLOOKUP(A104,Tabla17[],4,FALSE)</f>
        <v>#N/A</v>
      </c>
      <c r="L104" t="e">
        <f>VLOOKUP(A104,Tabla17[],5,FALSE)</f>
        <v>#N/A</v>
      </c>
      <c r="M104" t="e">
        <f>VLOOKUP(A104,Tabla17[],6,FALSE)</f>
        <v>#N/A</v>
      </c>
      <c r="N104" t="e">
        <f>VLOOKUP(A104,Tabla17[],7,FALSE)</f>
        <v>#N/A</v>
      </c>
      <c r="O104" t="e">
        <f>VLOOKUP(A104,Tabla17[],8,FALSE)</f>
        <v>#N/A</v>
      </c>
      <c r="P104" t="e">
        <f>VLOOKUP(A104,Tabla110[],2,FALSE)</f>
        <v>#N/A</v>
      </c>
      <c r="Q104" t="e">
        <f>VLOOKUP(A104,Tabla110[],3,FALSE)</f>
        <v>#N/A</v>
      </c>
      <c r="R104" t="e">
        <f>VLOOKUP(A104,Tabla29[],2,FALSE)</f>
        <v>#N/A</v>
      </c>
      <c r="S104" t="e">
        <f>VLOOKUP(A104,Tabla29[],3,FALSE)</f>
        <v>#N/A</v>
      </c>
      <c r="T104" t="e">
        <f>VLOOKUP(A104,Tabla18[],3,FALSE)</f>
        <v>#N/A</v>
      </c>
    </row>
    <row r="105" spans="1:20" x14ac:dyDescent="0.25">
      <c r="A105" s="1" t="s">
        <v>37</v>
      </c>
      <c r="B105" t="str">
        <f>VLOOKUP(A105,Tabla1[],2,FALSE)</f>
        <v>4.672.000.000</v>
      </c>
      <c r="C105" t="str">
        <f>VLOOKUP(A105,Tabla1[],3,FALSE)</f>
        <v>−1,31%</v>
      </c>
      <c r="D105">
        <f>VLOOKUP(A105,Tabla1[],4,FALSE)</f>
        <v>44.320999999999998</v>
      </c>
      <c r="E105" t="e">
        <f>VLOOKUP(A105,Tabla2[],2,FALSE)</f>
        <v>#N/A</v>
      </c>
      <c r="F105" t="e">
        <f>VLOOKUP(A105,Tabla2[],3,FALSE)</f>
        <v>#N/A</v>
      </c>
      <c r="G105" t="e">
        <f>VLOOKUP(A105,Tabla4[],3,FALSE)</f>
        <v>#N/A</v>
      </c>
      <c r="H105" t="e">
        <f>VLOOKUP(A105,Tabla3[],3,FALSE)</f>
        <v>#N/A</v>
      </c>
      <c r="I105" t="e">
        <f>VLOOKUP(A105,Tabla16[],2,FALSE)</f>
        <v>#N/A</v>
      </c>
      <c r="J105" t="e">
        <f>VLOOKUP(A105,Tabla17[],3,FALSE)</f>
        <v>#N/A</v>
      </c>
      <c r="K105" t="e">
        <f>VLOOKUP(A105,Tabla17[],4,FALSE)</f>
        <v>#N/A</v>
      </c>
      <c r="L105" t="e">
        <f>VLOOKUP(A105,Tabla17[],5,FALSE)</f>
        <v>#N/A</v>
      </c>
      <c r="M105" t="e">
        <f>VLOOKUP(A105,Tabla17[],6,FALSE)</f>
        <v>#N/A</v>
      </c>
      <c r="N105" t="e">
        <f>VLOOKUP(A105,Tabla17[],7,FALSE)</f>
        <v>#N/A</v>
      </c>
      <c r="O105" t="e">
        <f>VLOOKUP(A105,Tabla17[],8,FALSE)</f>
        <v>#N/A</v>
      </c>
      <c r="P105" t="e">
        <f>VLOOKUP(A105,Tabla110[],2,FALSE)</f>
        <v>#N/A</v>
      </c>
      <c r="Q105" t="e">
        <f>VLOOKUP(A105,Tabla110[],3,FALSE)</f>
        <v>#N/A</v>
      </c>
      <c r="R105" t="e">
        <f>VLOOKUP(A105,Tabla29[],2,FALSE)</f>
        <v>#N/A</v>
      </c>
      <c r="S105" t="e">
        <f>VLOOKUP(A105,Tabla29[],3,FALSE)</f>
        <v>#N/A</v>
      </c>
      <c r="T105" t="e">
        <f>VLOOKUP(A105,Tabla18[],3,FALSE)</f>
        <v>#N/A</v>
      </c>
    </row>
    <row r="106" spans="1:20" x14ac:dyDescent="0.25">
      <c r="A106" s="1" t="s">
        <v>103</v>
      </c>
      <c r="B106" t="str">
        <f>VLOOKUP(A106,Tabla1[],2,FALSE)</f>
        <v>610.778.000.000</v>
      </c>
      <c r="C106" t="str">
        <f>VLOOKUP(A106,Tabla1[],3,FALSE)</f>
        <v>2,93%</v>
      </c>
      <c r="D106">
        <f>VLOOKUP(A106,Tabla1[],4,FALSE)</f>
        <v>60.335000000000001</v>
      </c>
      <c r="E106">
        <f>VLOOKUP(A106,Tabla2[],2,FALSE)</f>
        <v>83.042000000000002</v>
      </c>
      <c r="F106">
        <f>VLOOKUP(A106,Tabla2[],3,FALSE)</f>
        <v>43.908000000000001</v>
      </c>
      <c r="G106" t="str">
        <f>VLOOKUP(A106,Tabla4[],3,FALSE)</f>
        <v>166.756,5</v>
      </c>
      <c r="H106">
        <f>VLOOKUP(A106,Tabla3[],3,FALSE)</f>
        <v>366.803</v>
      </c>
      <c r="I106">
        <f>VLOOKUP(A106,Tabla16[],2,FALSE)</f>
        <v>3.39</v>
      </c>
      <c r="J106">
        <f>VLOOKUP(A106,Tabla17[],3,FALSE)</f>
        <v>2.4E-2</v>
      </c>
      <c r="K106">
        <f>VLOOKUP(A106,Tabla17[],4,FALSE)</f>
        <v>0.26500000000000001</v>
      </c>
      <c r="L106">
        <f>VLOOKUP(A106,Tabla17[],5,FALSE)</f>
        <v>0.69499999999999995</v>
      </c>
      <c r="M106">
        <f>VLOOKUP(A106,Tabla17[],6,FALSE)</f>
        <v>7610</v>
      </c>
      <c r="N106" t="str">
        <f>VLOOKUP(A106,Tabla17[],7,FALSE)</f>
        <v>84 032</v>
      </c>
      <c r="O106" t="str">
        <f>VLOOKUP(A106,Tabla17[],8,FALSE)</f>
        <v>220 385</v>
      </c>
      <c r="P106" t="str">
        <f>VLOOKUP(A106,Tabla110[],2,FALSE)</f>
        <v> NUEVO SHEKEL ISRAELÍ</v>
      </c>
      <c r="Q106">
        <f>VLOOKUP(A106,Tabla110[],3,FALSE)</f>
        <v>36579</v>
      </c>
      <c r="R106">
        <f>VLOOKUP(A106,Tabla29[],2,FALSE)</f>
        <v>23.94</v>
      </c>
      <c r="S106">
        <f>VLOOKUP(A106,Tabla29[],3,FALSE)</f>
        <v>42</v>
      </c>
      <c r="T106">
        <f>VLOOKUP(A106,Tabla18[],3,FALSE)</f>
        <v>68.400000000000006</v>
      </c>
    </row>
    <row r="107" spans="1:20" x14ac:dyDescent="0.25">
      <c r="A107" s="2" t="s">
        <v>10</v>
      </c>
      <c r="B107" t="str">
        <f>VLOOKUP(A107,Tabla1[],2,FALSE)</f>
        <v>2.550.111.000.000</v>
      </c>
      <c r="C107" t="str">
        <f>VLOOKUP(A107,Tabla1[],3,FALSE)</f>
        <v>0,54%</v>
      </c>
      <c r="D107">
        <f>VLOOKUP(A107,Tabla1[],4,FALSE)</f>
        <v>43.27</v>
      </c>
      <c r="E107">
        <f>VLOOKUP(TRIM(A107),Tabla2[],2,FALSE)</f>
        <v>155.27099999999999</v>
      </c>
      <c r="F107">
        <f>VLOOKUP(A107,Tabla2[],3,FALSE)</f>
        <v>162.798</v>
      </c>
      <c r="G107" t="str">
        <f>VLOOKUP(A107,Tabla4[],3,FALSE)</f>
        <v>1.017.854,4</v>
      </c>
      <c r="H107" t="str">
        <f>VLOOKUP(A107,Tabla3[],3,FALSE)</f>
        <v>3.210.019</v>
      </c>
      <c r="I107">
        <f>VLOOKUP(A107,Tabla16[],2,FALSE)</f>
        <v>7.62</v>
      </c>
      <c r="J107">
        <f>VLOOKUP(A107,Tabla17[],3,FALSE)</f>
        <v>2.1000000000000001E-2</v>
      </c>
      <c r="K107">
        <f>VLOOKUP(A107,Tabla17[],4,FALSE)</f>
        <v>0.23899999999999999</v>
      </c>
      <c r="L107">
        <f>VLOOKUP(A107,Tabla17[],5,FALSE)</f>
        <v>0.73899999999999999</v>
      </c>
      <c r="M107" t="str">
        <f>VLOOKUP(A107,Tabla17[],6,FALSE)</f>
        <v>48 657</v>
      </c>
      <c r="N107" t="str">
        <f>VLOOKUP(A107,Tabla17[],7,FALSE)</f>
        <v>553 763</v>
      </c>
      <c r="O107" t="str">
        <f>VLOOKUP(A107,Tabla17[],8,FALSE)</f>
        <v>1 712 263</v>
      </c>
      <c r="P107" t="e">
        <f>VLOOKUP(A107,Tabla110[],2,FALSE)</f>
        <v>#N/A</v>
      </c>
      <c r="Q107" t="e">
        <f>VLOOKUP(A107,Tabla110[],3,FALSE)</f>
        <v>#N/A</v>
      </c>
      <c r="R107">
        <f>VLOOKUP(A107,Tabla29[],2,FALSE)</f>
        <v>0</v>
      </c>
      <c r="S107">
        <f>VLOOKUP(A107,Tabla29[],3,FALSE)</f>
        <v>40</v>
      </c>
      <c r="T107">
        <f>VLOOKUP(A107,Tabla18[],3,FALSE)</f>
        <v>63.3</v>
      </c>
    </row>
    <row r="108" spans="1:20" x14ac:dyDescent="0.25">
      <c r="A108" s="2" t="s">
        <v>2</v>
      </c>
      <c r="B108" t="str">
        <f>VLOOKUP(A108,Tabla1[],2,FALSE)</f>
        <v>22.313.000.000</v>
      </c>
      <c r="C108" t="str">
        <f>VLOOKUP(A108,Tabla1[],3,FALSE)</f>
        <v>−0,06%</v>
      </c>
      <c r="D108">
        <f>VLOOKUP(A108,Tabla1[],4,FALSE)</f>
        <v>8.1059999999999999</v>
      </c>
      <c r="E108">
        <f>VLOOKUP(A108,Tabla2[],2,0)</f>
        <v>5.2560000000000002</v>
      </c>
      <c r="F108">
        <f>VLOOKUP(A108,Tabla2[],3,FALSE)</f>
        <v>3.4569999999999999</v>
      </c>
      <c r="G108" t="str">
        <f>VLOOKUP(A108,Tabla4[],3,FALSE)</f>
        <v>5.671,2</v>
      </c>
      <c r="H108">
        <f>VLOOKUP(A108,Tabla3[],3,FALSE)</f>
        <v>14.032</v>
      </c>
      <c r="I108">
        <f>VLOOKUP(A108,Tabla16[],2,FALSE)</f>
        <v>4.42</v>
      </c>
      <c r="J108">
        <f>VLOOKUP(A108,Tabla17[],3,FALSE)</f>
        <v>7.0000000000000007E-2</v>
      </c>
      <c r="K108">
        <f>VLOOKUP(A108,Tabla17[],4,FALSE)</f>
        <v>0.21099999999999999</v>
      </c>
      <c r="L108">
        <f>VLOOKUP(A108,Tabla17[],5,FALSE)</f>
        <v>0.71899999999999997</v>
      </c>
      <c r="M108">
        <f>VLOOKUP(A108,Tabla17[],6,FALSE)</f>
        <v>1824</v>
      </c>
      <c r="N108">
        <f>VLOOKUP(A108,Tabla17[],7,FALSE)</f>
        <v>5499</v>
      </c>
      <c r="O108" t="str">
        <f>VLOOKUP(A108,Tabla17[],8,FALSE)</f>
        <v>18 737</v>
      </c>
      <c r="P108" t="str">
        <f>VLOOKUP(A108,Tabla110[],2,FALSE)</f>
        <v> DÓLAR JAMAIQUINO</v>
      </c>
      <c r="Q108" t="str">
        <f>VLOOKUP(A108,Tabla110[],3,FALSE)</f>
        <v>154,81</v>
      </c>
      <c r="R108">
        <f>VLOOKUP(A108,Tabla29[],2,FALSE)</f>
        <v>4.4610000000000003</v>
      </c>
      <c r="S108">
        <f>VLOOKUP(A108,Tabla29[],3,FALSE)</f>
        <v>40</v>
      </c>
      <c r="T108">
        <f>VLOOKUP(A108,Tabla18[],3,FALSE)</f>
        <v>68.2</v>
      </c>
    </row>
    <row r="109" spans="1:20" x14ac:dyDescent="0.25">
      <c r="A109" s="1" t="s">
        <v>31</v>
      </c>
      <c r="B109" t="str">
        <f>VLOOKUP(A109,Tabla1[],2,FALSE)</f>
        <v>4.435.163.000.000</v>
      </c>
      <c r="C109" t="str">
        <f>VLOOKUP(A109,Tabla1[],3,FALSE)</f>
        <v>1,19%</v>
      </c>
      <c r="D109">
        <f>VLOOKUP(A109,Tabla1[],4,FALSE)</f>
        <v>35.972999999999999</v>
      </c>
      <c r="E109">
        <f>VLOOKUP(A109,Tabla2[],2,FALSE)</f>
        <v>227.965</v>
      </c>
      <c r="F109">
        <f>VLOOKUP(A109,Tabla2[],3,FALSE)</f>
        <v>246.31</v>
      </c>
      <c r="G109" t="str">
        <f>VLOOKUP(A109,Tabla4[],3,FALSE)</f>
        <v>1.426.020,9</v>
      </c>
      <c r="H109" t="str">
        <f>VLOOKUP(A109,Tabla3[],3,FALSE)</f>
        <v>10.110.360</v>
      </c>
      <c r="I109" t="str">
        <f>VLOOKUP(A109,Tabla16[],2,FALSE)</f>
        <v>2,58</v>
      </c>
      <c r="J109">
        <f>VLOOKUP(A109,Tabla17[],3,FALSE)</f>
        <v>1.0999999999999999E-2</v>
      </c>
      <c r="K109">
        <f>VLOOKUP(A109,Tabla17[],4,FALSE)</f>
        <v>0.30099999999999999</v>
      </c>
      <c r="L109">
        <f>VLOOKUP(A109,Tabla17[],5,FALSE)</f>
        <v>0.68700000000000006</v>
      </c>
      <c r="M109" t="str">
        <f>VLOOKUP(A109,Tabla17[],6,FALSE)</f>
        <v>59 873</v>
      </c>
      <c r="N109" t="str">
        <f>VLOOKUP(A109,Tabla17[],7,FALSE)</f>
        <v>1 638 343</v>
      </c>
      <c r="O109" t="str">
        <f>VLOOKUP(A109,Tabla17[],8,FALSE)</f>
        <v>3 739 341</v>
      </c>
      <c r="P109" t="e">
        <f>VLOOKUP(A109,Tabla110[],2,FALSE)</f>
        <v>#N/A</v>
      </c>
      <c r="Q109" t="e">
        <f>VLOOKUP(A109,Tabla110[],3,FALSE)</f>
        <v>#N/A</v>
      </c>
      <c r="R109">
        <f>VLOOKUP(A109,Tabla29[],2,FALSE)</f>
        <v>19.388000000000002</v>
      </c>
      <c r="S109">
        <f>VLOOKUP(A109,Tabla29[],3,FALSE)</f>
        <v>40</v>
      </c>
      <c r="T109">
        <f>VLOOKUP(A109,Tabla18[],3,FALSE)</f>
        <v>70.3</v>
      </c>
    </row>
    <row r="110" spans="1:20" x14ac:dyDescent="0.25">
      <c r="A110" s="1" t="s">
        <v>89</v>
      </c>
      <c r="B110" t="str">
        <f>VLOOKUP(A110,Tabla1[],2,FALSE)</f>
        <v>61.692.000.000</v>
      </c>
      <c r="C110" t="str">
        <f>VLOOKUP(A110,Tabla1[],3,FALSE)</f>
        <v>2,68%</v>
      </c>
      <c r="D110">
        <f>VLOOKUP(A110,Tabla1[],4,FALSE)</f>
        <v>5.3550000000000004</v>
      </c>
      <c r="E110">
        <f>VLOOKUP(A110,Tabla2[],2,FALSE)</f>
        <v>9.6340000000000003</v>
      </c>
      <c r="F110">
        <f>VLOOKUP(A110,Tabla2[],3,FALSE)</f>
        <v>6.0039999999999996</v>
      </c>
      <c r="G110" t="e">
        <f>VLOOKUP(A110,Tabla4[],3,FALSE)</f>
        <v>#N/A</v>
      </c>
      <c r="H110">
        <f>VLOOKUP(A110,Tabla3[],3,FALSE)</f>
        <v>48.206000000000003</v>
      </c>
      <c r="I110" t="str">
        <f>VLOOKUP(A110,Tabla16[],2,FALSE)</f>
        <v>17,94</v>
      </c>
      <c r="J110">
        <f>VLOOKUP(A110,Tabla17[],3,FALSE)</f>
        <v>4.4999999999999998E-2</v>
      </c>
      <c r="K110">
        <f>VLOOKUP(A110,Tabla17[],4,FALSE)</f>
        <v>0.28799999999999998</v>
      </c>
      <c r="L110">
        <f>VLOOKUP(A110,Tabla17[],5,FALSE)</f>
        <v>0.66600000000000004</v>
      </c>
      <c r="M110">
        <f>VLOOKUP(A110,Tabla17[],6,FALSE)</f>
        <v>4005</v>
      </c>
      <c r="N110" t="str">
        <f>VLOOKUP(A110,Tabla17[],7,FALSE)</f>
        <v>25 632</v>
      </c>
      <c r="O110" t="str">
        <f>VLOOKUP(A110,Tabla17[],8,FALSE)</f>
        <v>59 274</v>
      </c>
      <c r="P110" t="str">
        <f>VLOOKUP(A110,Tabla110[],2,FALSE)</f>
        <v> DINAR DE JORDANIA</v>
      </c>
      <c r="Q110" t="str">
        <f>VLOOKUP(A110,Tabla110[],3,FALSE)</f>
        <v>0,708</v>
      </c>
      <c r="R110">
        <f>VLOOKUP(A110,Tabla29[],2,FALSE)</f>
        <v>5.4080000000000004</v>
      </c>
      <c r="S110">
        <f>VLOOKUP(A110,Tabla29[],3,FALSE)</f>
        <v>48</v>
      </c>
      <c r="T110">
        <f>VLOOKUP(A110,Tabla18[],3,FALSE)</f>
        <v>59.3</v>
      </c>
    </row>
    <row r="111" spans="1:20" x14ac:dyDescent="0.25">
      <c r="A111" s="1" t="s">
        <v>199</v>
      </c>
      <c r="B111" t="str">
        <f>VLOOKUP(A111,Tabla1[],2,FALSE)</f>
        <v>302.746.000.000</v>
      </c>
      <c r="C111" t="str">
        <f>VLOOKUP(A111,Tabla1[],3,FALSE)</f>
        <v>6,49%</v>
      </c>
      <c r="D111">
        <f>VLOOKUP(A111,Tabla1[],4,FALSE)</f>
        <v>14.855</v>
      </c>
      <c r="E111" t="e">
        <f>VLOOKUP(A111,Tabla2[],2,FALSE)</f>
        <v>#N/A</v>
      </c>
      <c r="F111" t="e">
        <f>VLOOKUP(A111,Tabla2[],3,FALSE)</f>
        <v>#N/A</v>
      </c>
      <c r="G111" t="str">
        <f>VLOOKUP(A111,Tabla4[],3,FALSE)</f>
        <v>50.967,2</v>
      </c>
      <c r="H111">
        <f>VLOOKUP(A111,Tabla3[],3,FALSE)</f>
        <v>60.176000000000002</v>
      </c>
      <c r="I111" t="e">
        <f>VLOOKUP(A111,Tabla16[],2,FALSE)</f>
        <v>#N/A</v>
      </c>
      <c r="J111">
        <f>VLOOKUP(A111,Tabla17[],3,FALSE)</f>
        <v>4.7E-2</v>
      </c>
      <c r="K111">
        <f>VLOOKUP(A111,Tabla17[],4,FALSE)</f>
        <v>0.34100000000000003</v>
      </c>
      <c r="L111">
        <f>VLOOKUP(A111,Tabla17[],5,FALSE)</f>
        <v>0.61199999999999999</v>
      </c>
      <c r="M111" t="str">
        <f>VLOOKUP(A111,Tabla17[],6,FALSE)</f>
        <v>22 494</v>
      </c>
      <c r="N111" t="str">
        <f>VLOOKUP(A111,Tabla17[],7,FALSE)</f>
        <v>163 203</v>
      </c>
      <c r="O111" t="str">
        <f>VLOOKUP(A111,Tabla17[],8,FALSE)</f>
        <v>292 903</v>
      </c>
      <c r="P111" t="e">
        <f>VLOOKUP(A111,Tabla110[],2,FALSE)</f>
        <v>#N/A</v>
      </c>
      <c r="Q111" t="e">
        <f>VLOOKUP(A111,Tabla110[],3,FALSE)</f>
        <v>#N/A</v>
      </c>
      <c r="R111" t="e">
        <f>VLOOKUP(A111,Tabla29[],2,FALSE)</f>
        <v>#N/A</v>
      </c>
      <c r="S111" t="e">
        <f>VLOOKUP(A111,Tabla29[],3,FALSE)</f>
        <v>#N/A</v>
      </c>
      <c r="T111">
        <f>VLOOKUP(A111,Tabla18[],3,FALSE)</f>
        <v>64.2</v>
      </c>
    </row>
    <row r="112" spans="1:20" x14ac:dyDescent="0.25">
      <c r="A112" s="1" t="s">
        <v>165</v>
      </c>
      <c r="B112" t="str">
        <f>VLOOKUP(A112,Tabla1[],2,FALSE)</f>
        <v>136.455.000.000</v>
      </c>
      <c r="C112" t="str">
        <f>VLOOKUP(A112,Tabla1[],3,FALSE)</f>
        <v>4,88%</v>
      </c>
      <c r="D112">
        <f>VLOOKUP(A112,Tabla1[],4,FALSE)</f>
        <v>2.5579999999999998</v>
      </c>
      <c r="E112">
        <f>VLOOKUP(A112,Tabla2[],2,FALSE)</f>
        <v>5.4050000000000002</v>
      </c>
      <c r="F112">
        <f>VLOOKUP(A112,Tabla2[],3,FALSE)</f>
        <v>4.8029999999999999</v>
      </c>
      <c r="G112" t="str">
        <f>VLOOKUP(A112,Tabla4[],3,FALSE)</f>
        <v>17.948,5</v>
      </c>
      <c r="H112">
        <f>VLOOKUP(A112,Tabla3[],3,FALSE)</f>
        <v>80.338999999999999</v>
      </c>
      <c r="I112" t="str">
        <f>VLOOKUP(A112,Tabla16[],2,FALSE)</f>
        <v>5,68</v>
      </c>
      <c r="J112">
        <f>VLOOKUP(A112,Tabla17[],3,FALSE)</f>
        <v>0.34499999999999997</v>
      </c>
      <c r="K112">
        <f>VLOOKUP(A112,Tabla17[],4,FALSE)</f>
        <v>0.17799999999999999</v>
      </c>
      <c r="L112">
        <f>VLOOKUP(A112,Tabla17[],5,FALSE)</f>
        <v>0.47499999999999998</v>
      </c>
      <c r="M112" t="str">
        <f>VLOOKUP(A112,Tabla17[],6,FALSE)</f>
        <v>56 477</v>
      </c>
      <c r="N112" t="str">
        <f>VLOOKUP(A112,Tabla17[],7,FALSE)</f>
        <v>29 139</v>
      </c>
      <c r="O112" t="str">
        <f>VLOOKUP(A112,Tabla17[],8,FALSE)</f>
        <v>77 758</v>
      </c>
      <c r="P112" t="str">
        <f>VLOOKUP(A112,Tabla110[],2,FALSE)</f>
        <v> CHELÍN KENIANO</v>
      </c>
      <c r="Q112">
        <f>VLOOKUP(A112,Tabla110[],3,FALSE)</f>
        <v>129</v>
      </c>
      <c r="R112" t="e">
        <f>VLOOKUP(A112,Tabla29[],2,FALSE)</f>
        <v>#N/A</v>
      </c>
      <c r="S112" t="e">
        <f>VLOOKUP(A112,Tabla29[],3,FALSE)</f>
        <v>#N/A</v>
      </c>
      <c r="T112">
        <f>VLOOKUP(A112,Tabla18[],3,FALSE)</f>
        <v>55.5</v>
      </c>
    </row>
    <row r="113" spans="1:20" x14ac:dyDescent="0.25">
      <c r="A113" s="1" t="s">
        <v>57</v>
      </c>
      <c r="B113" t="str">
        <f>VLOOKUP(A113,Tabla1[],2,FALSE)</f>
        <v>21.567.000.000</v>
      </c>
      <c r="C113" t="str">
        <f>VLOOKUP(A113,Tabla1[],3,FALSE)</f>
        <v>11,10%</v>
      </c>
      <c r="D113">
        <f>VLOOKUP(A113,Tabla1[],4,FALSE)</f>
        <v>2.984</v>
      </c>
      <c r="E113">
        <f>VLOOKUP(A113,Tabla2[],2,FALSE)</f>
        <v>1.375</v>
      </c>
      <c r="F113">
        <f>VLOOKUP(A113,Tabla2[],3,FALSE)</f>
        <v>1.4830000000000001</v>
      </c>
      <c r="G113" t="str">
        <f>VLOOKUP(A113,Tabla4[],3,FALSE)</f>
        <v>3.327,9</v>
      </c>
      <c r="H113">
        <f>VLOOKUP(A113,Tabla3[],3,FALSE)</f>
        <v>6.5629999999999997</v>
      </c>
      <c r="I113">
        <f>VLOOKUP(A113,Tabla16[],2,FALSE)</f>
        <v>4.04</v>
      </c>
      <c r="J113">
        <f>VLOOKUP(A113,Tabla17[],3,FALSE)</f>
        <v>0.14599999999999999</v>
      </c>
      <c r="K113">
        <f>VLOOKUP(A113,Tabla17[],4,FALSE)</f>
        <v>0.312</v>
      </c>
      <c r="L113">
        <f>VLOOKUP(A113,Tabla17[],5,FALSE)</f>
        <v>0.54200000000000004</v>
      </c>
      <c r="M113">
        <f>VLOOKUP(A113,Tabla17[],6,FALSE)</f>
        <v>3380</v>
      </c>
      <c r="N113">
        <f>VLOOKUP(A113,Tabla17[],7,FALSE)</f>
        <v>7223</v>
      </c>
      <c r="O113" t="str">
        <f>VLOOKUP(A113,Tabla17[],8,FALSE)</f>
        <v>12 547</v>
      </c>
      <c r="P113" t="e">
        <f>VLOOKUP(A113,Tabla110[],2,FALSE)</f>
        <v>#N/A</v>
      </c>
      <c r="Q113" t="e">
        <f>VLOOKUP(A113,Tabla110[],3,FALSE)</f>
        <v>#N/A</v>
      </c>
      <c r="R113">
        <f>VLOOKUP(A113,Tabla29[],2,FALSE)</f>
        <v>349</v>
      </c>
      <c r="S113">
        <f>VLOOKUP(A113,Tabla29[],3,FALSE)</f>
        <v>40</v>
      </c>
      <c r="T113">
        <f>VLOOKUP(A113,Tabla18[],3,FALSE)</f>
        <v>56</v>
      </c>
    </row>
    <row r="114" spans="1:20" x14ac:dyDescent="0.25">
      <c r="A114" s="1" t="s">
        <v>149</v>
      </c>
      <c r="B114" t="str">
        <f>VLOOKUP(A114,Tabla1[],2,FALSE)</f>
        <v>349.000.000</v>
      </c>
      <c r="C114" t="str">
        <f>VLOOKUP(A114,Tabla1[],3,FALSE)</f>
        <v>4,29%</v>
      </c>
      <c r="D114">
        <f>VLOOKUP(A114,Tabla1[],4,FALSE)</f>
        <v>2.7010000000000001</v>
      </c>
      <c r="E114">
        <f>VLOOKUP(A114,Tabla2[],2,FALSE)</f>
        <v>9</v>
      </c>
      <c r="F114">
        <f>VLOOKUP(A114,Tabla2[],3,FALSE)</f>
        <v>101</v>
      </c>
      <c r="G114" t="str">
        <f>VLOOKUP(A114,Tabla4[],3,FALSE)</f>
        <v>46,5</v>
      </c>
      <c r="H114">
        <f>VLOOKUP(A114,Tabla3[],3,FALSE)</f>
        <v>33</v>
      </c>
      <c r="I114" t="e">
        <f>VLOOKUP(A114,Tabla16[],2,FALSE)</f>
        <v>#N/A</v>
      </c>
      <c r="J114">
        <f>VLOOKUP(A114,Tabla17[],3,FALSE)</f>
        <v>0.23</v>
      </c>
      <c r="K114">
        <f>VLOOKUP(A114,Tabla17[],4,FALSE)</f>
        <v>7.0000000000000007E-2</v>
      </c>
      <c r="L114">
        <f>VLOOKUP(A114,Tabla17[],5,FALSE)</f>
        <v>0.7</v>
      </c>
      <c r="M114">
        <f>VLOOKUP(A114,Tabla17[],6,FALSE)</f>
        <v>52</v>
      </c>
      <c r="N114">
        <f>VLOOKUP(A114,Tabla17[],7,FALSE)</f>
        <v>16</v>
      </c>
      <c r="O114">
        <f>VLOOKUP(A114,Tabla17[],8,FALSE)</f>
        <v>159</v>
      </c>
      <c r="P114" t="e">
        <f>VLOOKUP(A114,Tabla110[],2,FALSE)</f>
        <v>#N/A</v>
      </c>
      <c r="Q114" t="e">
        <f>VLOOKUP(A114,Tabla110[],3,FALSE)</f>
        <v>#N/A</v>
      </c>
      <c r="R114">
        <f>VLOOKUP(A114,Tabla29[],2,FALSE)</f>
        <v>2.0329999999999999</v>
      </c>
      <c r="S114">
        <f>VLOOKUP(A114,Tabla29[],3,FALSE)</f>
        <v>40</v>
      </c>
      <c r="T114">
        <f>VLOOKUP(A114,Tabla18[],3,FALSE)</f>
        <v>50.8</v>
      </c>
    </row>
    <row r="115" spans="1:20" x14ac:dyDescent="0.25">
      <c r="A115" s="2" t="s">
        <v>122</v>
      </c>
      <c r="B115" t="str">
        <f>VLOOKUP(A115,Tabla1[],2,FALSE)</f>
        <v>157.835.000.000</v>
      </c>
      <c r="C115" t="str">
        <f>VLOOKUP(A115,Tabla1[],3,FALSE)</f>
        <v>3,47%</v>
      </c>
      <c r="D115">
        <f>VLOOKUP(A115,Tabla1[],4,FALSE)</f>
        <v>30.876999999999999</v>
      </c>
      <c r="E115">
        <f>VLOOKUP(A115,Tabla2[],2,FALSE)</f>
        <v>11.302</v>
      </c>
      <c r="F115">
        <f>VLOOKUP(A115,Tabla2[],3,FALSE)</f>
        <v>30.402000000000001</v>
      </c>
      <c r="G115" t="e">
        <f>VLOOKUP(A115,Tabla4[],3,FALSE)</f>
        <v>#N/A</v>
      </c>
      <c r="H115">
        <f>VLOOKUP(A115,Tabla3[],3,FALSE)</f>
        <v>5.1829999999999998</v>
      </c>
      <c r="I115">
        <f>VLOOKUP(A115,Tabla16[],2,FALSE)</f>
        <v>2.08</v>
      </c>
      <c r="J115">
        <f>VLOOKUP(A115,Tabla17[],3,FALSE)</f>
        <v>4.0000000000000001E-3</v>
      </c>
      <c r="K115">
        <f>VLOOKUP(A115,Tabla17[],4,FALSE)</f>
        <v>0.58699999999999997</v>
      </c>
      <c r="L115">
        <f>VLOOKUP(A115,Tabla17[],5,FALSE)</f>
        <v>0.40899999999999997</v>
      </c>
      <c r="M115">
        <f>VLOOKUP(A115,Tabla17[],6,FALSE)</f>
        <v>1159</v>
      </c>
      <c r="N115" t="str">
        <f>VLOOKUP(A115,Tabla17[],7,FALSE)</f>
        <v>170 054</v>
      </c>
      <c r="O115" t="str">
        <f>VLOOKUP(A115,Tabla17[],8,FALSE)</f>
        <v>118 487</v>
      </c>
      <c r="P115" t="str">
        <f>VLOOKUP(A115,Tabla110[],2,FALSE)</f>
        <v> DINAR DE KUWAIT</v>
      </c>
      <c r="Q115" t="str">
        <f>VLOOKUP(A115,Tabla110[],3,FALSE)</f>
        <v>0,3079</v>
      </c>
      <c r="R115">
        <f>VLOOKUP(A115,Tabla29[],2,FALSE)</f>
        <v>2.4</v>
      </c>
      <c r="S115">
        <f>VLOOKUP(A115,Tabla29[],3,FALSE)</f>
        <v>48</v>
      </c>
      <c r="T115">
        <f>VLOOKUP(A115,Tabla18[],3,FALSE)</f>
        <v>59.9</v>
      </c>
    </row>
    <row r="116" spans="1:20" x14ac:dyDescent="0.25">
      <c r="A116" s="1" t="s">
        <v>163</v>
      </c>
      <c r="B116" t="str">
        <f>VLOOKUP(A116,Tabla1[],2,FALSE)</f>
        <v>17.822.000.000</v>
      </c>
      <c r="C116" t="str">
        <f>VLOOKUP(A116,Tabla1[],3,FALSE)</f>
        <v>4,77%</v>
      </c>
      <c r="D116">
        <f>VLOOKUP(A116,Tabla1[],4,FALSE)</f>
        <v>2.2879999999999998</v>
      </c>
      <c r="E116">
        <f>VLOOKUP(A116,Tabla2[],2,FALSE)</f>
        <v>1.327</v>
      </c>
      <c r="F116">
        <f>VLOOKUP(A116,Tabla2[],3,FALSE)</f>
        <v>947</v>
      </c>
      <c r="G116" t="str">
        <f>VLOOKUP(A116,Tabla4[],3,FALSE)</f>
        <v>1.646,6</v>
      </c>
      <c r="H116">
        <f>VLOOKUP(A116,Tabla3[],3,FALSE)</f>
        <v>15.984</v>
      </c>
      <c r="I116">
        <f>VLOOKUP(A116,Tabla16[],2,FALSE)</f>
        <v>1.18</v>
      </c>
      <c r="J116">
        <f>VLOOKUP(A116,Tabla17[],3,FALSE)</f>
        <v>0.20899999999999999</v>
      </c>
      <c r="K116">
        <f>VLOOKUP(A116,Tabla17[],4,FALSE)</f>
        <v>0.33200000000000002</v>
      </c>
      <c r="L116">
        <f>VLOOKUP(A116,Tabla17[],5,FALSE)</f>
        <v>0.45900000000000002</v>
      </c>
      <c r="M116" t="str">
        <f>VLOOKUP(A116,Tabla17[],6,FALSE)</f>
        <v>10 312</v>
      </c>
      <c r="N116" t="str">
        <f>VLOOKUP(A116,Tabla17[],7,FALSE)</f>
        <v>16 381</v>
      </c>
      <c r="O116" t="str">
        <f>VLOOKUP(A116,Tabla17[],8,FALSE)</f>
        <v>22 647</v>
      </c>
      <c r="P116" t="str">
        <f>VLOOKUP(A116,Tabla110[],2,FALSE)</f>
        <v> KIP DE LAOS</v>
      </c>
      <c r="Q116">
        <f>VLOOKUP(A116,Tabla110[],3,FALSE)</f>
        <v>21744</v>
      </c>
      <c r="R116">
        <f>VLOOKUP(A116,Tabla29[],2,FALSE)</f>
        <v>1.732</v>
      </c>
      <c r="S116">
        <f>VLOOKUP(A116,Tabla29[],3,FALSE)</f>
        <v>48</v>
      </c>
      <c r="T116">
        <f>VLOOKUP(A116,Tabla18[],3,FALSE)</f>
        <v>50.9</v>
      </c>
    </row>
    <row r="117" spans="1:20" x14ac:dyDescent="0.25">
      <c r="A117" s="1" t="s">
        <v>39</v>
      </c>
      <c r="B117" t="str">
        <f>VLOOKUP(A117,Tabla1[],2,FALSE)</f>
        <v>2.854.000.000</v>
      </c>
      <c r="C117" t="str">
        <f>VLOOKUP(A117,Tabla1[],3,FALSE)</f>
        <v>1,39%</v>
      </c>
      <c r="D117">
        <f>VLOOKUP(A117,Tabla1[],4,FALSE)</f>
        <v>1.206</v>
      </c>
      <c r="E117" t="e">
        <f>VLOOKUP(A117,Tabla2[],2,FALSE)</f>
        <v>#N/A</v>
      </c>
      <c r="F117" t="e">
        <f>VLOOKUP(A117,Tabla2[],3,FALSE)</f>
        <v>#N/A</v>
      </c>
      <c r="G117" t="str">
        <f>VLOOKUP(A117,Tabla4[],3,FALSE)</f>
        <v>501,6</v>
      </c>
      <c r="H117">
        <f>VLOOKUP(A117,Tabla3[],3,FALSE)</f>
        <v>1.361</v>
      </c>
      <c r="I117" t="e">
        <f>VLOOKUP(A117,Tabla16[],2,FALSE)</f>
        <v>#N/A</v>
      </c>
      <c r="J117">
        <f>VLOOKUP(A117,Tabla17[],3,FALSE)</f>
        <v>5.8000000000000003E-2</v>
      </c>
      <c r="K117">
        <f>VLOOKUP(A117,Tabla17[],4,FALSE)</f>
        <v>0.39200000000000002</v>
      </c>
      <c r="L117">
        <f>VLOOKUP(A117,Tabla17[],5,FALSE)</f>
        <v>0.54900000000000004</v>
      </c>
      <c r="M117">
        <f>VLOOKUP(A117,Tabla17[],6,FALSE)</f>
        <v>386</v>
      </c>
      <c r="N117">
        <f>VLOOKUP(A117,Tabla17[],7,FALSE)</f>
        <v>2609</v>
      </c>
      <c r="O117">
        <f>VLOOKUP(A117,Tabla17[],8,FALSE)</f>
        <v>3654</v>
      </c>
      <c r="P117" t="e">
        <f>VLOOKUP(A117,Tabla110[],2,FALSE)</f>
        <v>#N/A</v>
      </c>
      <c r="Q117" t="e">
        <f>VLOOKUP(A117,Tabla110[],3,FALSE)</f>
        <v>#N/A</v>
      </c>
      <c r="R117" t="e">
        <f>VLOOKUP(A117,Tabla29[],2,FALSE)</f>
        <v>#N/A</v>
      </c>
      <c r="S117" t="e">
        <f>VLOOKUP(A117,Tabla29[],3,FALSE)</f>
        <v>#N/A</v>
      </c>
      <c r="T117">
        <f>VLOOKUP(A117,Tabla18[],3,FALSE)</f>
        <v>54.9</v>
      </c>
    </row>
    <row r="118" spans="1:20" x14ac:dyDescent="0.25">
      <c r="A118" s="1" t="s">
        <v>71</v>
      </c>
      <c r="B118" t="str">
        <f>VLOOKUP(A118,Tabla1[],2,FALSE)</f>
        <v>48.591.000.000</v>
      </c>
      <c r="C118" t="str">
        <f>VLOOKUP(A118,Tabla1[],3,FALSE)</f>
        <v>2,14%</v>
      </c>
      <c r="D118">
        <f>VLOOKUP(A118,Tabla1[],4,FALSE)</f>
        <v>26.116</v>
      </c>
      <c r="E118">
        <f>VLOOKUP(A118,Tabla2[],2,FALSE)</f>
        <v>8.1240000000000006</v>
      </c>
      <c r="F118">
        <f>VLOOKUP(A118,Tabla2[],3,FALSE)</f>
        <v>5.7560000000000002</v>
      </c>
      <c r="G118" t="str">
        <f>VLOOKUP(A118,Tabla4[],3,FALSE)</f>
        <v>15.248,3</v>
      </c>
      <c r="H118">
        <f>VLOOKUP(A118,Tabla3[],3,FALSE)</f>
        <v>20.343</v>
      </c>
      <c r="I118">
        <f>VLOOKUP(A118,Tabla16[],2,FALSE)</f>
        <v>6.53</v>
      </c>
      <c r="J118">
        <f>VLOOKUP(A118,Tabla17[],3,FALSE)</f>
        <v>3.9E-2</v>
      </c>
      <c r="K118">
        <f>VLOOKUP(A118,Tabla17[],4,FALSE)</f>
        <v>0.224</v>
      </c>
      <c r="L118">
        <f>VLOOKUP(A118,Tabla17[],5,FALSE)</f>
        <v>0.73699999999999999</v>
      </c>
      <c r="M118">
        <f>VLOOKUP(A118,Tabla17[],6,FALSE)</f>
        <v>2107</v>
      </c>
      <c r="N118" t="str">
        <f>VLOOKUP(A118,Tabla17[],7,FALSE)</f>
        <v>12 100</v>
      </c>
      <c r="O118" t="str">
        <f>VLOOKUP(A118,Tabla17[],8,FALSE)</f>
        <v>39 813</v>
      </c>
      <c r="P118" t="e">
        <f>VLOOKUP(A118,Tabla110[],2,FALSE)</f>
        <v>#N/A</v>
      </c>
      <c r="Q118" t="e">
        <f>VLOOKUP(A118,Tabla110[],3,FALSE)</f>
        <v>#N/A</v>
      </c>
      <c r="R118">
        <f>VLOOKUP(A118,Tabla29[],2,FALSE)</f>
        <v>10.502000000000001</v>
      </c>
      <c r="S118">
        <f>VLOOKUP(A118,Tabla29[],3,FALSE)</f>
        <v>40</v>
      </c>
      <c r="T118">
        <f>VLOOKUP(A118,Tabla18[],3,FALSE)</f>
        <v>71.599999999999994</v>
      </c>
    </row>
    <row r="119" spans="1:20" x14ac:dyDescent="0.25">
      <c r="A119" s="2" t="s">
        <v>142</v>
      </c>
      <c r="B119" t="str">
        <f>VLOOKUP(A119,Tabla1[],2,FALSE)</f>
        <v>34.497.000.000</v>
      </c>
      <c r="C119" t="str">
        <f>VLOOKUP(A119,Tabla1[],3,FALSE)</f>
        <v>4,00%</v>
      </c>
      <c r="D119">
        <f>VLOOKUP(A119,Tabla1[],4,FALSE)</f>
        <v>6.4429999999999996</v>
      </c>
      <c r="E119">
        <f>VLOOKUP(A119,Tabla2[],2,FALSE)</f>
        <v>7.9219999999999997</v>
      </c>
      <c r="F119">
        <f>VLOOKUP(A119,Tabla2[],3,FALSE)</f>
        <v>6.6260000000000003</v>
      </c>
      <c r="G119" t="e">
        <f>VLOOKUP(A119,Tabla4[],3,FALSE)</f>
        <v>#N/A</v>
      </c>
      <c r="H119">
        <f>VLOOKUP(A119,Tabla3[],3,FALSE)</f>
        <v>70.858000000000004</v>
      </c>
      <c r="I119" t="str">
        <f>VLOOKUP(A119,Tabla16[],2,FALSE)</f>
        <v>11,57</v>
      </c>
      <c r="J119">
        <f>VLOOKUP(A119,Tabla17[],3,FALSE)</f>
        <v>3.9E-2</v>
      </c>
      <c r="K119">
        <f>VLOOKUP(A119,Tabla17[],4,FALSE)</f>
        <v>0.13100000000000001</v>
      </c>
      <c r="L119">
        <f>VLOOKUP(A119,Tabla17[],5,FALSE)</f>
        <v>0.83</v>
      </c>
      <c r="M119">
        <f>VLOOKUP(A119,Tabla17[],6,FALSE)</f>
        <v>3442</v>
      </c>
      <c r="N119" t="str">
        <f>VLOOKUP(A119,Tabla17[],7,FALSE)</f>
        <v>11 561</v>
      </c>
      <c r="O119" t="str">
        <f>VLOOKUP(A119,Tabla17[],8,FALSE)</f>
        <v>73 248</v>
      </c>
      <c r="P119" t="e">
        <f>VLOOKUP(A119,Tabla110[],2,FALSE)</f>
        <v>#N/A</v>
      </c>
      <c r="Q119" t="e">
        <f>VLOOKUP(A119,Tabla110[],3,FALSE)</f>
        <v>#N/A</v>
      </c>
      <c r="R119">
        <f>VLOOKUP(A119,Tabla29[],2,FALSE)</f>
        <v>5.3730000000000002</v>
      </c>
      <c r="S119">
        <f>VLOOKUP(A119,Tabla29[],3,FALSE)</f>
        <v>48</v>
      </c>
      <c r="T119">
        <f>VLOOKUP(A119,Tabla18[],3,FALSE)</f>
        <v>43.1</v>
      </c>
    </row>
    <row r="120" spans="1:20" x14ac:dyDescent="0.25">
      <c r="A120" s="1" t="s">
        <v>181</v>
      </c>
      <c r="B120" t="str">
        <f>VLOOKUP(A120,Tabla1[],2,FALSE)</f>
        <v>5.216.000.000</v>
      </c>
      <c r="C120" t="str">
        <f>VLOOKUP(A120,Tabla1[],3,FALSE)</f>
        <v>5,14%</v>
      </c>
      <c r="D120">
        <f>VLOOKUP(A120,Tabla1[],4,FALSE)</f>
        <v>910</v>
      </c>
      <c r="E120">
        <f>VLOOKUP(A120,Tabla2[],2,FALSE)</f>
        <v>192</v>
      </c>
      <c r="F120">
        <f>VLOOKUP(A120,Tabla2[],3,FALSE)</f>
        <v>434</v>
      </c>
      <c r="G120" t="str">
        <f>VLOOKUP(A120,Tabla4[],3,FALSE)</f>
        <v>566,2</v>
      </c>
      <c r="H120">
        <f>VLOOKUP(A120,Tabla3[],3,FALSE)</f>
        <v>2.7320000000000002</v>
      </c>
      <c r="I120" t="str">
        <f>VLOOKUP(A120,Tabla16[],2,FALSE)</f>
        <v>2,94</v>
      </c>
      <c r="J120">
        <f>VLOOKUP(A120,Tabla17[],3,FALSE)</f>
        <v>0.34</v>
      </c>
      <c r="K120">
        <f>VLOOKUP(A120,Tabla17[],4,FALSE)</f>
        <v>0.13800000000000001</v>
      </c>
      <c r="L120">
        <f>VLOOKUP(A120,Tabla17[],5,FALSE)</f>
        <v>0.52200000000000002</v>
      </c>
      <c r="M120">
        <f>VLOOKUP(A120,Tabla17[],6,FALSE)</f>
        <v>2078</v>
      </c>
      <c r="N120">
        <f>VLOOKUP(A120,Tabla17[],7,FALSE)</f>
        <v>843</v>
      </c>
      <c r="O120">
        <f>VLOOKUP(A120,Tabla17[],8,FALSE)</f>
        <v>3190</v>
      </c>
      <c r="P120" t="str">
        <f>VLOOKUP(A120,Tabla110[],2,FALSE)</f>
        <v> DÓLAR LIBERIANO</v>
      </c>
      <c r="Q120">
        <f>VLOOKUP(A120,Tabla110[],3,FALSE)</f>
        <v>181</v>
      </c>
      <c r="R120">
        <f>VLOOKUP(A120,Tabla29[],2,FALSE)</f>
        <v>4</v>
      </c>
      <c r="S120">
        <f>VLOOKUP(A120,Tabla29[],3,FALSE)</f>
        <v>48</v>
      </c>
      <c r="T120">
        <f>VLOOKUP(A120,Tabla18[],3,FALSE)</f>
        <v>49.8</v>
      </c>
    </row>
    <row r="121" spans="1:20" x14ac:dyDescent="0.25">
      <c r="A121" s="1" t="s">
        <v>59</v>
      </c>
      <c r="B121" t="str">
        <f>VLOOKUP(A121,Tabla1[],2,FALSE)</f>
        <v>44.732.000.000</v>
      </c>
      <c r="C121" t="str">
        <f>VLOOKUP(A121,Tabla1[],3,FALSE)</f>
        <v>15,87%</v>
      </c>
      <c r="D121">
        <f>VLOOKUP(A121,Tabla1[],4,FALSE)</f>
        <v>5.9989999999999997</v>
      </c>
      <c r="E121">
        <f>VLOOKUP(A121,Tabla2[],2,FALSE)</f>
        <v>83</v>
      </c>
      <c r="F121">
        <f>VLOOKUP(A121,Tabla2[],3,FALSE)</f>
        <v>8.4489999999999998</v>
      </c>
      <c r="G121" t="e">
        <f>VLOOKUP(A121,Tabla4[],3,FALSE)</f>
        <v>#N/A</v>
      </c>
      <c r="H121">
        <f>VLOOKUP(A121,Tabla3[],3,FALSE)</f>
        <v>16.164000000000001</v>
      </c>
      <c r="I121" t="str">
        <f>VLOOKUP(A121,Tabla16[],2,FALSE)</f>
        <v>18,74</v>
      </c>
      <c r="J121">
        <f>VLOOKUP(A121,Tabla17[],3,FALSE)</f>
        <v>1.2999999999999999E-2</v>
      </c>
      <c r="K121">
        <f>VLOOKUP(A121,Tabla17[],4,FALSE)</f>
        <v>0.52300000000000002</v>
      </c>
      <c r="L121">
        <f>VLOOKUP(A121,Tabla17[],5,FALSE)</f>
        <v>0.46400000000000002</v>
      </c>
      <c r="M121">
        <f>VLOOKUP(A121,Tabla17[],6,FALSE)</f>
        <v>806</v>
      </c>
      <c r="N121" t="str">
        <f>VLOOKUP(A121,Tabla17[],7,FALSE)</f>
        <v>32 410</v>
      </c>
      <c r="O121" t="str">
        <f>VLOOKUP(A121,Tabla17[],8,FALSE)</f>
        <v>28 754</v>
      </c>
      <c r="P121" t="str">
        <f>VLOOKUP(A121,Tabla110[],2,FALSE)</f>
        <v> DINAR DE LIBIA</v>
      </c>
      <c r="Q121">
        <f>VLOOKUP(A121,Tabla110[],3,FALSE)</f>
        <v>49061</v>
      </c>
      <c r="R121">
        <f>VLOOKUP(A121,Tabla29[],2,FALSE)</f>
        <v>1.169</v>
      </c>
      <c r="S121">
        <f>VLOOKUP(A121,Tabla29[],3,FALSE)</f>
        <v>40</v>
      </c>
      <c r="T121" t="e">
        <f>VLOOKUP(A121,Tabla18[],3,FALSE)</f>
        <v>#N/A</v>
      </c>
    </row>
    <row r="122" spans="1:20" x14ac:dyDescent="0.25">
      <c r="A122" s="1" t="s">
        <v>1</v>
      </c>
      <c r="B122" t="str">
        <f>VLOOKUP(A122,Tabla1[],2,FALSE)</f>
        <v>8.991.000.000</v>
      </c>
      <c r="C122" t="str">
        <f>VLOOKUP(A122,Tabla1[],3,FALSE)</f>
        <v>–</v>
      </c>
      <c r="D122">
        <f>VLOOKUP(A122,Tabla1[],4,FALSE)</f>
        <v>217.928</v>
      </c>
      <c r="E122" t="e">
        <f>VLOOKUP(TRIM(A122),Tabla2[],2,FALSE)</f>
        <v>#N/A</v>
      </c>
      <c r="F122" t="e">
        <f>VLOOKUP(A122,Tabla2[],3,FALSE)</f>
        <v>#N/A</v>
      </c>
      <c r="G122" t="str">
        <f>VLOOKUP(A122,Tabla4[],3,FALSE)</f>
        <v>1.791,0</v>
      </c>
      <c r="H122">
        <f>VLOOKUP(A122,Tabla3[],3,FALSE)</f>
        <v>39</v>
      </c>
      <c r="I122" t="e">
        <f>VLOOKUP(A122,Tabla16[],2,FALSE)</f>
        <v>#N/A</v>
      </c>
      <c r="J122">
        <f>VLOOKUP(A122,Tabla17[],3,FALSE)</f>
        <v>7.0000000000000007E-2</v>
      </c>
      <c r="K122">
        <f>VLOOKUP(A122,Tabla17[],4,FALSE)</f>
        <v>0.41</v>
      </c>
      <c r="L122">
        <f>VLOOKUP(A122,Tabla17[],5,FALSE)</f>
        <v>0.52</v>
      </c>
      <c r="M122">
        <f>VLOOKUP(A122,Tabla17[],6,FALSE)</f>
        <v>348</v>
      </c>
      <c r="N122">
        <f>VLOOKUP(A122,Tabla17[],7,FALSE)</f>
        <v>2041</v>
      </c>
      <c r="O122">
        <f>VLOOKUP(A122,Tabla17[],8,FALSE)</f>
        <v>2589</v>
      </c>
      <c r="P122" t="e">
        <f>VLOOKUP(A122,Tabla110[],2,FALSE)</f>
        <v>#N/A</v>
      </c>
      <c r="Q122" t="e">
        <f>VLOOKUP(A122,Tabla110[],3,FALSE)</f>
        <v>#N/A</v>
      </c>
      <c r="R122">
        <f>VLOOKUP(A122,Tabla29[],2,FALSE)</f>
        <v>0</v>
      </c>
      <c r="S122">
        <f>VLOOKUP(A122,Tabla29[],3,FALSE)</f>
        <v>48</v>
      </c>
      <c r="T122" t="e">
        <f>VLOOKUP(A122,Tabla18[],3,FALSE)</f>
        <v>#N/A</v>
      </c>
    </row>
    <row r="123" spans="1:20" x14ac:dyDescent="0.25">
      <c r="A123" s="1" t="s">
        <v>101</v>
      </c>
      <c r="B123" t="str">
        <f>VLOOKUP(A123,Tabla1[],2,FALSE)</f>
        <v>94.927.000.000</v>
      </c>
      <c r="C123" t="str">
        <f>VLOOKUP(A123,Tabla1[],3,FALSE)</f>
        <v>2,86%</v>
      </c>
      <c r="D123">
        <f>VLOOKUP(A123,Tabla1[],4,FALSE)</f>
        <v>32.838999999999999</v>
      </c>
      <c r="E123" t="str">
        <f>VLOOKUP(A123,Tabla2[],2,FALSE)</f>
        <v>24 de 197</v>
      </c>
      <c r="F123">
        <f>VLOOKUP(A123,Tabla2[],3,FALSE)</f>
        <v>14.683</v>
      </c>
      <c r="G123" t="str">
        <f>VLOOKUP(A123,Tabla4[],3,FALSE)</f>
        <v>28.117,0</v>
      </c>
      <c r="H123">
        <f>VLOOKUP(A123,Tabla3[],3,FALSE)</f>
        <v>32.430999999999997</v>
      </c>
      <c r="I123" t="str">
        <f>VLOOKUP(A123,Tabla16[],2,FALSE)</f>
        <v>6,96</v>
      </c>
      <c r="J123">
        <f>VLOOKUP(A123,Tabla17[],3,FALSE)</f>
        <v>3.5000000000000003E-2</v>
      </c>
      <c r="K123">
        <f>VLOOKUP(A123,Tabla17[],4,FALSE)</f>
        <v>0.29399999999999998</v>
      </c>
      <c r="L123">
        <f>VLOOKUP(A123,Tabla17[],5,FALSE)</f>
        <v>0.67200000000000004</v>
      </c>
      <c r="M123">
        <f>VLOOKUP(A123,Tabla17[],6,FALSE)</f>
        <v>3201</v>
      </c>
      <c r="N123" t="str">
        <f>VLOOKUP(A123,Tabla17[],7,FALSE)</f>
        <v>26 892</v>
      </c>
      <c r="O123" t="str">
        <f>VLOOKUP(A123,Tabla17[],8,FALSE)</f>
        <v>61 468</v>
      </c>
      <c r="P123" t="e">
        <f>VLOOKUP(A123,Tabla110[],2,FALSE)</f>
        <v>#N/A</v>
      </c>
      <c r="Q123" t="e">
        <f>VLOOKUP(A123,Tabla110[],3,FALSE)</f>
        <v>#N/A</v>
      </c>
      <c r="R123">
        <f>VLOOKUP(A123,Tabla29[],2,FALSE)</f>
        <v>17.343</v>
      </c>
      <c r="S123">
        <f>VLOOKUP(A123,Tabla29[],3,FALSE)</f>
        <v>40</v>
      </c>
      <c r="T123">
        <f>VLOOKUP(A123,Tabla18[],3,FALSE)</f>
        <v>75.3</v>
      </c>
    </row>
    <row r="124" spans="1:20" x14ac:dyDescent="0.25">
      <c r="A124" s="2" t="s">
        <v>16</v>
      </c>
      <c r="B124" t="str">
        <f>VLOOKUP(A124,Tabla1[],2,FALSE)</f>
        <v>101.100.000.000</v>
      </c>
      <c r="C124" t="str">
        <f>VLOOKUP(A124,Tabla1[],3,FALSE)</f>
        <v>0,64%</v>
      </c>
      <c r="D124">
        <f>VLOOKUP(A124,Tabla1[],4,FALSE)</f>
        <v>148.24700000000001</v>
      </c>
      <c r="E124">
        <f>VLOOKUP(TRIM(A124),Tabla2[],2,FALSE)</f>
        <v>171.24199999999999</v>
      </c>
      <c r="F124">
        <f>VLOOKUP(A124,Tabla2[],3,FALSE)</f>
        <v>130.65899999999999</v>
      </c>
      <c r="G124" t="str">
        <f>VLOOKUP(A124,Tabla4[],3,FALSE)</f>
        <v>38.672,6</v>
      </c>
      <c r="H124">
        <f>VLOOKUP(A124,Tabla3[],3,FALSE)</f>
        <v>24.513999999999999</v>
      </c>
      <c r="I124">
        <f>VLOOKUP(A124,Tabla16[],2,FALSE)</f>
        <v>5.19</v>
      </c>
      <c r="J124">
        <f>VLOOKUP(A124,Tabla17[],3,FALSE)</f>
        <v>3.0000000000000001E-3</v>
      </c>
      <c r="K124">
        <f>VLOOKUP(A124,Tabla17[],4,FALSE)</f>
        <v>0.128</v>
      </c>
      <c r="L124">
        <f>VLOOKUP(A124,Tabla17[],5,FALSE)</f>
        <v>0.86899999999999999</v>
      </c>
      <c r="M124">
        <f>VLOOKUP(A124,Tabla17[],6,FALSE)</f>
        <v>186</v>
      </c>
      <c r="N124">
        <f>VLOOKUP(A124,Tabla17[],7,FALSE)</f>
        <v>7950</v>
      </c>
      <c r="O124" t="str">
        <f>VLOOKUP(A124,Tabla17[],8,FALSE)</f>
        <v>53 974</v>
      </c>
      <c r="P124" t="e">
        <f>VLOOKUP(A124,Tabla110[],2,FALSE)</f>
        <v>#N/A</v>
      </c>
      <c r="Q124" t="e">
        <f>VLOOKUP(A124,Tabla110[],3,FALSE)</f>
        <v>#N/A</v>
      </c>
      <c r="R124">
        <f>VLOOKUP(A124,Tabla29[],2,FALSE)</f>
        <v>32.103000000000002</v>
      </c>
      <c r="S124">
        <f>VLOOKUP(A124,Tabla29[],3,FALSE)</f>
        <v>40</v>
      </c>
      <c r="T124">
        <f>VLOOKUP(A124,Tabla18[],3,FALSE)</f>
        <v>79.7</v>
      </c>
    </row>
    <row r="125" spans="1:20" x14ac:dyDescent="0.25">
      <c r="A125" s="2" t="s">
        <v>162</v>
      </c>
      <c r="B125" t="str">
        <f>VLOOKUP(A125,Tabla1[],2,FALSE)</f>
        <v>52.061.000.000</v>
      </c>
      <c r="C125" t="str">
        <f>VLOOKUP(A125,Tabla1[],3,FALSE)</f>
        <v>4,67%</v>
      </c>
      <c r="D125">
        <f>VLOOKUP(A125,Tabla1[],4,FALSE)</f>
        <v>74.465000000000003</v>
      </c>
      <c r="E125">
        <f>VLOOKUP(A125,Tabla2[],2,FALSE)</f>
        <v>36.183999999999997</v>
      </c>
      <c r="F125">
        <f>VLOOKUP(A125,Tabla2[],3,FALSE)</f>
        <v>5.4370000000000003</v>
      </c>
      <c r="G125" t="e">
        <f>VLOOKUP(A125,Tabla4[],3,FALSE)</f>
        <v>#N/A</v>
      </c>
      <c r="H125" t="e">
        <f>VLOOKUP(A125,Tabla3[],3,FALSE)</f>
        <v>#N/A</v>
      </c>
      <c r="I125">
        <f>VLOOKUP(A125,Tabla16[],2,FALSE)</f>
        <v>2.25</v>
      </c>
      <c r="J125">
        <f>VLOOKUP(A125,Tabla17[],3,FALSE)</f>
        <v>0</v>
      </c>
      <c r="K125">
        <f>VLOOKUP(A125,Tabla17[],4,FALSE)</f>
        <v>6.3E-2</v>
      </c>
      <c r="L125">
        <f>VLOOKUP(A125,Tabla17[],5,FALSE)</f>
        <v>0.93700000000000006</v>
      </c>
      <c r="M125">
        <f>VLOOKUP(A125,Tabla17[],6,FALSE)</f>
        <v>0</v>
      </c>
      <c r="N125">
        <f>VLOOKUP(A125,Tabla17[],7,FALSE)</f>
        <v>4525</v>
      </c>
      <c r="O125" t="str">
        <f>VLOOKUP(A125,Tabla17[],8,FALSE)</f>
        <v>67 295</v>
      </c>
      <c r="P125" t="e">
        <f>VLOOKUP(A125,Tabla110[],2,FALSE)</f>
        <v>#N/A</v>
      </c>
      <c r="Q125" t="e">
        <f>VLOOKUP(A125,Tabla110[],3,FALSE)</f>
        <v>#N/A</v>
      </c>
      <c r="R125">
        <f>VLOOKUP(A125,Tabla29[],2,FALSE)</f>
        <v>9.9719999999999995</v>
      </c>
      <c r="S125">
        <f>VLOOKUP(A125,Tabla29[],3,FALSE)</f>
        <v>40</v>
      </c>
      <c r="T125" t="e">
        <f>VLOOKUP(A125,Tabla18[],3,FALSE)</f>
        <v>#N/A</v>
      </c>
    </row>
    <row r="126" spans="1:20" x14ac:dyDescent="0.25">
      <c r="A126" s="1" t="s">
        <v>125</v>
      </c>
      <c r="B126" t="str">
        <f>VLOOKUP(A126,Tabla1[],2,FALSE)</f>
        <v>19.142.000.000</v>
      </c>
      <c r="C126" t="str">
        <f>VLOOKUP(A126,Tabla1[],3,FALSE)</f>
        <v>3,49%</v>
      </c>
      <c r="D126">
        <f>VLOOKUP(A126,Tabla1[],4,FALSE)</f>
        <v>10.545999999999999</v>
      </c>
      <c r="E126">
        <f>VLOOKUP(A126,Tabla2[],2,FALSE)</f>
        <v>2.867</v>
      </c>
      <c r="F126">
        <f>VLOOKUP(A126,Tabla2[],3,FALSE)</f>
        <v>2.0760000000000001</v>
      </c>
      <c r="G126" t="e">
        <f>VLOOKUP(A126,Tabla4[],3,FALSE)</f>
        <v>#N/A</v>
      </c>
      <c r="H126">
        <f>VLOOKUP(A126,Tabla3[],3,FALSE)</f>
        <v>9.1460000000000008</v>
      </c>
      <c r="I126">
        <f>VLOOKUP(A126,Tabla16[],2,FALSE)</f>
        <v>13.08</v>
      </c>
      <c r="J126">
        <f>VLOOKUP(A126,Tabla17[],3,FALSE)</f>
        <v>0.109</v>
      </c>
      <c r="K126">
        <f>VLOOKUP(A126,Tabla17[],4,FALSE)</f>
        <v>0.26600000000000001</v>
      </c>
      <c r="L126">
        <f>VLOOKUP(A126,Tabla17[],5,FALSE)</f>
        <v>0.625</v>
      </c>
      <c r="M126">
        <f>VLOOKUP(A126,Tabla17[],6,FALSE)</f>
        <v>3382</v>
      </c>
      <c r="N126">
        <f>VLOOKUP(A126,Tabla17[],7,FALSE)</f>
        <v>8254</v>
      </c>
      <c r="O126" t="str">
        <f>VLOOKUP(A126,Tabla17[],8,FALSE)</f>
        <v>19 394</v>
      </c>
      <c r="P126" t="e">
        <f>VLOOKUP(A126,Tabla110[],2,FALSE)</f>
        <v>#N/A</v>
      </c>
      <c r="Q126" t="e">
        <f>VLOOKUP(A126,Tabla110[],3,FALSE)</f>
        <v>#N/A</v>
      </c>
      <c r="R126">
        <f>VLOOKUP(A126,Tabla29[],2,FALSE)</f>
        <v>2.4180000000000001</v>
      </c>
      <c r="S126">
        <f>VLOOKUP(A126,Tabla29[],3,FALSE)</f>
        <v>40</v>
      </c>
      <c r="T126">
        <f>VLOOKUP(A126,Tabla18[],3,FALSE)</f>
        <v>63.3</v>
      </c>
    </row>
    <row r="127" spans="1:20" x14ac:dyDescent="0.25">
      <c r="A127" s="2" t="s">
        <v>100</v>
      </c>
      <c r="B127" t="str">
        <f>VLOOKUP(A127,Tabla1[],2,FALSE)</f>
        <v>19.556.000.000</v>
      </c>
      <c r="C127" t="str">
        <f>VLOOKUP(A127,Tabla1[],3,FALSE)</f>
        <v>2,83%</v>
      </c>
      <c r="D127">
        <f>VLOOKUP(A127,Tabla1[],4,FALSE)</f>
        <v>622</v>
      </c>
      <c r="E127">
        <f>VLOOKUP(A127,Tabla2[],2,FALSE)</f>
        <v>1.1419999999999999</v>
      </c>
      <c r="F127">
        <f>VLOOKUP(A127,Tabla2[],3,FALSE)</f>
        <v>1.524</v>
      </c>
      <c r="G127" t="str">
        <f>VLOOKUP(A127,Tabla4[],3,FALSE)</f>
        <v>2.123,5</v>
      </c>
      <c r="H127">
        <f>VLOOKUP(A127,Tabla3[],3,FALSE)</f>
        <v>8.7680000000000007</v>
      </c>
      <c r="I127">
        <f>VLOOKUP(A127,Tabla16[],2,FALSE)</f>
        <v>3.06</v>
      </c>
      <c r="J127">
        <f>VLOOKUP(A127,Tabla17[],3,FALSE)</f>
        <v>0.24</v>
      </c>
      <c r="K127">
        <f>VLOOKUP(A127,Tabla17[],4,FALSE)</f>
        <v>0.19500000000000001</v>
      </c>
      <c r="L127">
        <f>VLOOKUP(A127,Tabla17[],5,FALSE)</f>
        <v>0.56399999999999995</v>
      </c>
      <c r="M127">
        <f>VLOOKUP(A127,Tabla17[],6,FALSE)</f>
        <v>9564</v>
      </c>
      <c r="N127">
        <f>VLOOKUP(A127,Tabla17[],7,FALSE)</f>
        <v>7771</v>
      </c>
      <c r="O127" t="str">
        <f>VLOOKUP(A127,Tabla17[],8,FALSE)</f>
        <v>22 475</v>
      </c>
      <c r="P127" t="str">
        <f>VLOOKUP(A127,Tabla110[],2,FALSE)</f>
        <v> ARIARY MALGACHE</v>
      </c>
      <c r="Q127">
        <f>VLOOKUP(A127,Tabla110[],3,FALSE)</f>
        <v>4683</v>
      </c>
      <c r="R127">
        <f>VLOOKUP(A127,Tabla29[],2,FALSE)</f>
        <v>376</v>
      </c>
      <c r="S127">
        <f>VLOOKUP(A127,Tabla29[],3,FALSE)</f>
        <v>41</v>
      </c>
      <c r="T127">
        <f>VLOOKUP(A127,Tabla18[],3,FALSE)</f>
        <v>57</v>
      </c>
    </row>
    <row r="128" spans="1:20" x14ac:dyDescent="0.25">
      <c r="A128" s="2" t="s">
        <v>182</v>
      </c>
      <c r="B128" t="str">
        <f>VLOOKUP(A128,Tabla1[],2,FALSE)</f>
        <v>472.193.000.000</v>
      </c>
      <c r="C128" t="str">
        <f>VLOOKUP(A128,Tabla1[],3,FALSE)</f>
        <v>5,17%</v>
      </c>
      <c r="D128">
        <f>VLOOKUP(A128,Tabla1[],4,FALSE)</f>
        <v>13.949</v>
      </c>
      <c r="E128">
        <f>VLOOKUP(A128,Tabla2[],2,FALSE)</f>
        <v>53.402000000000001</v>
      </c>
      <c r="F128">
        <f>VLOOKUP(A128,Tabla2[],3,FALSE)</f>
        <v>56.37</v>
      </c>
      <c r="G128" t="str">
        <f>VLOOKUP(A128,Tabla4[],3,FALSE)</f>
        <v>52.440,7</v>
      </c>
      <c r="H128">
        <f>VLOOKUP(A128,Tabla3[],3,FALSE)</f>
        <v>295.916</v>
      </c>
      <c r="I128">
        <f>VLOOKUP(A128,Tabla16[],2,FALSE)</f>
        <v>3.86</v>
      </c>
      <c r="J128">
        <f>VLOOKUP(A128,Tabla17[],3,FALSE)</f>
        <v>8.7999999999999995E-2</v>
      </c>
      <c r="K128">
        <f>VLOOKUP(A128,Tabla17[],4,FALSE)</f>
        <v>0.376</v>
      </c>
      <c r="L128">
        <f>VLOOKUP(A128,Tabla17[],5,FALSE)</f>
        <v>0.53600000000000003</v>
      </c>
      <c r="M128" t="str">
        <f>VLOOKUP(A128,Tabla17[],6,FALSE)</f>
        <v>82 130</v>
      </c>
      <c r="N128" t="str">
        <f>VLOOKUP(A128,Tabla17[],7,FALSE)</f>
        <v>350 921</v>
      </c>
      <c r="O128" t="str">
        <f>VLOOKUP(A128,Tabla17[],8,FALSE)</f>
        <v>500 249</v>
      </c>
      <c r="P128" t="str">
        <f>VLOOKUP(A128,Tabla110[],2,FALSE)</f>
        <v> RINGGIT DE MALASIA</v>
      </c>
      <c r="Q128">
        <f>VLOOKUP(A128,Tabla110[],3,FALSE)</f>
        <v>4467</v>
      </c>
      <c r="R128">
        <f>VLOOKUP(A128,Tabla29[],2,FALSE)</f>
        <v>4.3479999999999999</v>
      </c>
      <c r="S128">
        <f>VLOOKUP(A128,Tabla29[],3,FALSE)</f>
        <v>45</v>
      </c>
      <c r="T128">
        <f>VLOOKUP(A128,Tabla18[],3,FALSE)</f>
        <v>68</v>
      </c>
    </row>
    <row r="129" spans="1:20" x14ac:dyDescent="0.25">
      <c r="A129" s="2" t="s">
        <v>66</v>
      </c>
      <c r="B129" t="str">
        <f>VLOOKUP(A129,Tabla1[],2,FALSE)</f>
        <v>15.047.000.000</v>
      </c>
      <c r="C129" t="str">
        <f>VLOOKUP(A129,Tabla1[],3,FALSE)</f>
        <v>2,09%</v>
      </c>
      <c r="D129">
        <f>VLOOKUP(A129,Tabla1[],4,FALSE)</f>
        <v>625</v>
      </c>
      <c r="E129" t="e">
        <f>VLOOKUP(A129,Tabla2[],2,FALSE)</f>
        <v>#N/A</v>
      </c>
      <c r="F129" t="e">
        <f>VLOOKUP(A129,Tabla2[],3,FALSE)</f>
        <v>#N/A</v>
      </c>
      <c r="G129" t="str">
        <f>VLOOKUP(A129,Tabla4[],3,FALSE)</f>
        <v>1.718,3</v>
      </c>
      <c r="H129">
        <f>VLOOKUP(A129,Tabla3[],3,FALSE)</f>
        <v>10.332000000000001</v>
      </c>
      <c r="I129" t="e">
        <f>VLOOKUP(A129,Tabla16[],2,FALSE)</f>
        <v>#N/A</v>
      </c>
      <c r="J129">
        <f>VLOOKUP(A129,Tabla17[],3,FALSE)</f>
        <v>0.28599999999999998</v>
      </c>
      <c r="K129">
        <f>VLOOKUP(A129,Tabla17[],4,FALSE)</f>
        <v>0.154</v>
      </c>
      <c r="L129">
        <f>VLOOKUP(A129,Tabla17[],5,FALSE)</f>
        <v>0.56000000000000005</v>
      </c>
      <c r="M129">
        <f>VLOOKUP(A129,Tabla17[],6,FALSE)</f>
        <v>6412</v>
      </c>
      <c r="N129">
        <f>VLOOKUP(A129,Tabla17[],7,FALSE)</f>
        <v>3453</v>
      </c>
      <c r="O129" t="str">
        <f>VLOOKUP(A129,Tabla17[],8,FALSE)</f>
        <v>12 555</v>
      </c>
      <c r="P129" t="e">
        <f>VLOOKUP(A129,Tabla110[],2,FALSE)</f>
        <v>#N/A</v>
      </c>
      <c r="Q129" t="e">
        <f>VLOOKUP(A129,Tabla110[],3,FALSE)</f>
        <v>#N/A</v>
      </c>
      <c r="R129" t="e">
        <f>VLOOKUP(A129,Tabla29[],2,FALSE)</f>
        <v>#N/A</v>
      </c>
      <c r="S129" t="e">
        <f>VLOOKUP(A129,Tabla29[],3,FALSE)</f>
        <v>#N/A</v>
      </c>
      <c r="T129">
        <f>VLOOKUP(A129,Tabla18[],3,FALSE)</f>
        <v>50.7</v>
      </c>
    </row>
    <row r="130" spans="1:20" x14ac:dyDescent="0.25">
      <c r="A130" s="2" t="s">
        <v>176</v>
      </c>
      <c r="B130" t="str">
        <f>VLOOKUP(A130,Tabla1[],2,FALSE)</f>
        <v>7.665.000.000</v>
      </c>
      <c r="C130" t="str">
        <f>VLOOKUP(A130,Tabla1[],3,FALSE)</f>
        <v>5,03%</v>
      </c>
      <c r="D130">
        <f>VLOOKUP(A130,Tabla1[],4,FALSE)</f>
        <v>18.658000000000001</v>
      </c>
      <c r="E130">
        <f>VLOOKUP(A130,Tabla2[],2,FALSE)</f>
        <v>5.03</v>
      </c>
      <c r="F130">
        <f>VLOOKUP(A130,Tabla2[],3,FALSE)</f>
        <v>1.885</v>
      </c>
      <c r="G130" t="str">
        <f>VLOOKUP(A130,Tabla4[],3,FALSE)</f>
        <v>1.551,6</v>
      </c>
      <c r="H130">
        <f>VLOOKUP(A130,Tabla3[],3,FALSE)</f>
        <v>9.4019999999999992</v>
      </c>
      <c r="I130">
        <f>VLOOKUP(A130,Tabla16[],2,FALSE)</f>
        <v>4.13</v>
      </c>
      <c r="J130">
        <f>VLOOKUP(A130,Tabla17[],3,FALSE)</f>
        <v>0.03</v>
      </c>
      <c r="K130">
        <f>VLOOKUP(A130,Tabla17[],4,FALSE)</f>
        <v>0.16</v>
      </c>
      <c r="L130">
        <f>VLOOKUP(A130,Tabla17[],5,FALSE)</f>
        <v>0.81</v>
      </c>
      <c r="M130">
        <f>VLOOKUP(A130,Tabla17[],6,FALSE)</f>
        <v>207</v>
      </c>
      <c r="N130">
        <f>VLOOKUP(A130,Tabla17[],7,FALSE)</f>
        <v>1104</v>
      </c>
      <c r="O130">
        <f>VLOOKUP(A130,Tabla17[],8,FALSE)</f>
        <v>5590</v>
      </c>
      <c r="P130" t="str">
        <f>VLOOKUP(A130,Tabla110[],2,FALSE)</f>
        <v> RUPIA DE MALDIVAS</v>
      </c>
      <c r="Q130" t="str">
        <f>VLOOKUP(A130,Tabla110[],3,FALSE)</f>
        <v>15,42</v>
      </c>
      <c r="R130">
        <f>VLOOKUP(A130,Tabla29[],2,FALSE)</f>
        <v>0</v>
      </c>
      <c r="S130">
        <f>VLOOKUP(A130,Tabla29[],3,FALSE)</f>
        <v>48</v>
      </c>
      <c r="T130">
        <f>VLOOKUP(A130,Tabla18[],3,FALSE)</f>
        <v>47.6</v>
      </c>
    </row>
    <row r="131" spans="1:20" x14ac:dyDescent="0.25">
      <c r="A131" s="2" t="s">
        <v>166</v>
      </c>
      <c r="B131" t="str">
        <f>VLOOKUP(A131,Tabla1[],2,FALSE)</f>
        <v>30.050.000.000</v>
      </c>
      <c r="C131" t="str">
        <f>VLOOKUP(A131,Tabla1[],3,FALSE)</f>
        <v>4,90%</v>
      </c>
      <c r="D131">
        <f>VLOOKUP(A131,Tabla1[],4,FALSE)</f>
        <v>1.19</v>
      </c>
      <c r="E131" t="e">
        <f>VLOOKUP(A131,Tabla2[],2,FALSE)</f>
        <v>#N/A</v>
      </c>
      <c r="F131" t="e">
        <f>VLOOKUP(A131,Tabla2[],3,FALSE)</f>
        <v>#N/A</v>
      </c>
      <c r="G131" t="str">
        <f>VLOOKUP(A131,Tabla4[],3,FALSE)</f>
        <v>4.442,3</v>
      </c>
      <c r="H131">
        <f>VLOOKUP(A131,Tabla3[],3,FALSE)</f>
        <v>10.99</v>
      </c>
      <c r="I131" t="e">
        <f>VLOOKUP(A131,Tabla16[],2,FALSE)</f>
        <v>#N/A</v>
      </c>
      <c r="J131" t="e">
        <f>VLOOKUP(A131,Tabla17[],3,FALSE)</f>
        <v>#N/A</v>
      </c>
      <c r="K131" t="e">
        <f>VLOOKUP(A131,Tabla17[],4,FALSE)</f>
        <v>#N/A</v>
      </c>
      <c r="L131" t="e">
        <f>VLOOKUP(A131,Tabla17[],5,FALSE)</f>
        <v>#N/A</v>
      </c>
      <c r="M131" t="e">
        <f>VLOOKUP(A131,Tabla17[],6,FALSE)</f>
        <v>#N/A</v>
      </c>
      <c r="N131" t="e">
        <f>VLOOKUP(A131,Tabla17[],7,FALSE)</f>
        <v>#N/A</v>
      </c>
      <c r="O131" t="e">
        <f>VLOOKUP(A131,Tabla17[],8,FALSE)</f>
        <v>#N/A</v>
      </c>
      <c r="P131" t="e">
        <f>VLOOKUP(A131,Tabla110[],2,FALSE)</f>
        <v>#N/A</v>
      </c>
      <c r="Q131" t="e">
        <f>VLOOKUP(A131,Tabla110[],3,FALSE)</f>
        <v>#N/A</v>
      </c>
      <c r="R131" t="e">
        <f>VLOOKUP(A131,Tabla29[],2,FALSE)</f>
        <v>#N/A</v>
      </c>
      <c r="S131" t="e">
        <f>VLOOKUP(A131,Tabla29[],3,FALSE)</f>
        <v>#N/A</v>
      </c>
      <c r="T131" t="e">
        <f>VLOOKUP(A131,Tabla18[],3,FALSE)</f>
        <v>#N/A</v>
      </c>
    </row>
    <row r="132" spans="1:20" x14ac:dyDescent="0.25">
      <c r="A132" s="1" t="s">
        <v>141</v>
      </c>
      <c r="B132" t="str">
        <f>VLOOKUP(A132,Tabla1[],2,FALSE)</f>
        <v>27.756.000.000</v>
      </c>
      <c r="C132" t="str">
        <f>VLOOKUP(A132,Tabla1[],3,FALSE)</f>
        <v>3,96%</v>
      </c>
      <c r="D132">
        <f>VLOOKUP(A132,Tabla1[],4,FALSE)</f>
        <v>49.296999999999997</v>
      </c>
      <c r="E132">
        <f>VLOOKUP(A132,Tabla2[],2,FALSE)</f>
        <v>24.663</v>
      </c>
      <c r="F132">
        <f>VLOOKUP(A132,Tabla2[],3,FALSE)</f>
        <v>17.2</v>
      </c>
      <c r="G132" t="str">
        <f>VLOOKUP(A132,Tabla4[],3,FALSE)</f>
        <v>7.194,0</v>
      </c>
      <c r="H132">
        <f>VLOOKUP(A132,Tabla3[],3,FALSE)</f>
        <v>11.526999999999999</v>
      </c>
      <c r="I132">
        <f>VLOOKUP(A132,Tabla16[],2,FALSE)</f>
        <v>3.13</v>
      </c>
      <c r="J132">
        <f>VLOOKUP(A132,Tabla17[],3,FALSE)</f>
        <v>1.0999999999999999E-2</v>
      </c>
      <c r="K132">
        <f>VLOOKUP(A132,Tabla17[],4,FALSE)</f>
        <v>0.10199999999999999</v>
      </c>
      <c r="L132">
        <f>VLOOKUP(A132,Tabla17[],5,FALSE)</f>
        <v>0.88700000000000001</v>
      </c>
      <c r="M132">
        <f>VLOOKUP(A132,Tabla17[],6,FALSE)</f>
        <v>212</v>
      </c>
      <c r="N132">
        <f>VLOOKUP(A132,Tabla17[],7,FALSE)</f>
        <v>1965</v>
      </c>
      <c r="O132" t="str">
        <f>VLOOKUP(A132,Tabla17[],8,FALSE)</f>
        <v>17 084</v>
      </c>
      <c r="P132" t="e">
        <f>VLOOKUP(A132,Tabla110[],2,FALSE)</f>
        <v>#N/A</v>
      </c>
      <c r="Q132" t="e">
        <f>VLOOKUP(A132,Tabla110[],3,FALSE)</f>
        <v>#N/A</v>
      </c>
      <c r="R132">
        <f>VLOOKUP(A132,Tabla29[],2,FALSE)</f>
        <v>11.244999999999999</v>
      </c>
      <c r="S132">
        <f>VLOOKUP(A132,Tabla29[],3,FALSE)</f>
        <v>40</v>
      </c>
      <c r="T132">
        <f>VLOOKUP(A132,Tabla18[],3,FALSE)</f>
        <v>68.2</v>
      </c>
    </row>
    <row r="133" spans="1:20" x14ac:dyDescent="0.25">
      <c r="A133" s="1" t="s">
        <v>167</v>
      </c>
      <c r="B133" t="str">
        <f>VLOOKUP(A133,Tabla1[],2,FALSE)</f>
        <v>182.587.000.000</v>
      </c>
      <c r="C133" t="str">
        <f>VLOOKUP(A133,Tabla1[],3,FALSE)</f>
        <v>4,90%</v>
      </c>
      <c r="D133">
        <f>VLOOKUP(A133,Tabla1[],4,FALSE)</f>
        <v>4.8419999999999996</v>
      </c>
      <c r="E133">
        <f>VLOOKUP(A133,Tabla2[],2,FALSE)</f>
        <v>25.451000000000001</v>
      </c>
      <c r="F133">
        <f>VLOOKUP(A133,Tabla2[],3,FALSE)</f>
        <v>12.351000000000001</v>
      </c>
      <c r="G133" t="str">
        <f>VLOOKUP(A133,Tabla4[],3,FALSE)</f>
        <v>47.262,9</v>
      </c>
      <c r="H133">
        <f>VLOOKUP(A133,Tabla3[],3,FALSE)</f>
        <v>108.785</v>
      </c>
      <c r="I133">
        <f>VLOOKUP(A133,Tabla16[],2,FALSE)</f>
        <v>9.11</v>
      </c>
      <c r="J133">
        <f>VLOOKUP(A133,Tabla17[],3,FALSE)</f>
        <v>0.14000000000000001</v>
      </c>
      <c r="K133">
        <f>VLOOKUP(A133,Tabla17[],4,FALSE)</f>
        <v>0.29499999999999998</v>
      </c>
      <c r="L133">
        <f>VLOOKUP(A133,Tabla17[],5,FALSE)</f>
        <v>0.56499999999999995</v>
      </c>
      <c r="M133" t="str">
        <f>VLOOKUP(A133,Tabla17[],6,FALSE)</f>
        <v>41 804</v>
      </c>
      <c r="N133" t="str">
        <f>VLOOKUP(A133,Tabla17[],7,FALSE)</f>
        <v>88 087</v>
      </c>
      <c r="O133" t="str">
        <f>VLOOKUP(A133,Tabla17[],8,FALSE)</f>
        <v>168 709</v>
      </c>
      <c r="P133" t="e">
        <f>VLOOKUP(A133,Tabla110[],2,FALSE)</f>
        <v>#N/A</v>
      </c>
      <c r="Q133" t="e">
        <f>VLOOKUP(A133,Tabla110[],3,FALSE)</f>
        <v>#N/A</v>
      </c>
      <c r="R133">
        <f>VLOOKUP(A133,Tabla29[],2,FALSE)</f>
        <v>3.9969999999999999</v>
      </c>
      <c r="S133">
        <f>VLOOKUP(A133,Tabla29[],3,FALSE)</f>
        <v>44</v>
      </c>
      <c r="T133">
        <f>VLOOKUP(A133,Tabla18[],3,FALSE)</f>
        <v>61.8</v>
      </c>
    </row>
    <row r="134" spans="1:20" x14ac:dyDescent="0.25">
      <c r="A134" s="2" t="s">
        <v>114</v>
      </c>
      <c r="B134" t="str">
        <f>VLOOKUP(A134,Tabla1[],2,FALSE)</f>
        <v>16.126.000.000</v>
      </c>
      <c r="C134" t="str">
        <f>VLOOKUP(A134,Tabla1[],3,FALSE)</f>
        <v>3,10%</v>
      </c>
      <c r="D134">
        <f>VLOOKUP(A134,Tabla1[],4,FALSE)</f>
        <v>12.977</v>
      </c>
      <c r="E134">
        <f>VLOOKUP(A134,Tabla2[],2,FALSE)</f>
        <v>4.0860000000000003</v>
      </c>
      <c r="F134">
        <f>VLOOKUP(A134,Tabla2[],3,FALSE)</f>
        <v>2.1320000000000001</v>
      </c>
      <c r="G134" t="str">
        <f>VLOOKUP(A134,Tabla4[],3,FALSE)</f>
        <v>2.957,7</v>
      </c>
      <c r="H134">
        <f>VLOOKUP(A134,Tabla3[],3,FALSE)</f>
        <v>12.068</v>
      </c>
      <c r="I134">
        <f>VLOOKUP(A134,Tabla16[],2,FALSE)</f>
        <v>6.06</v>
      </c>
      <c r="J134">
        <f>VLOOKUP(A134,Tabla17[],3,FALSE)</f>
        <v>0.04</v>
      </c>
      <c r="K134">
        <f>VLOOKUP(A134,Tabla17[],4,FALSE)</f>
        <v>0.218</v>
      </c>
      <c r="L134">
        <f>VLOOKUP(A134,Tabla17[],5,FALSE)</f>
        <v>0.74099999999999999</v>
      </c>
      <c r="M134">
        <f>VLOOKUP(A134,Tabla17[],6,FALSE)</f>
        <v>1131</v>
      </c>
      <c r="N134">
        <f>VLOOKUP(A134,Tabla17[],7,FALSE)</f>
        <v>6163</v>
      </c>
      <c r="O134" t="str">
        <f>VLOOKUP(A134,Tabla17[],8,FALSE)</f>
        <v>20 948</v>
      </c>
      <c r="P134" t="str">
        <f>VLOOKUP(A134,Tabla110[],2,FALSE)</f>
        <v> RUPIA DE MAURICIO</v>
      </c>
      <c r="Q134" t="str">
        <f>VLOOKUP(A134,Tabla110[],3,FALSE)</f>
        <v>46,91</v>
      </c>
      <c r="R134">
        <f>VLOOKUP(A134,Tabla29[],2,FALSE)</f>
        <v>2.5379999999999998</v>
      </c>
      <c r="S134">
        <f>VLOOKUP(A134,Tabla29[],3,FALSE)</f>
        <v>45</v>
      </c>
      <c r="T134">
        <f>VLOOKUP(A134,Tabla18[],3,FALSE)</f>
        <v>73</v>
      </c>
    </row>
    <row r="135" spans="1:20" x14ac:dyDescent="0.25">
      <c r="A135" s="2" t="s">
        <v>148</v>
      </c>
      <c r="B135" t="str">
        <f>VLOOKUP(A135,Tabla1[],2,FALSE)</f>
        <v>12.289.000.000</v>
      </c>
      <c r="C135" t="str">
        <f>VLOOKUP(A135,Tabla1[],3,FALSE)</f>
        <v>4,21%</v>
      </c>
      <c r="D135">
        <f>VLOOKUP(A135,Tabla1[],4,FALSE)</f>
        <v>2.6549999999999998</v>
      </c>
      <c r="E135">
        <f>VLOOKUP(A135,Tabla2[],2,FALSE)</f>
        <v>295</v>
      </c>
      <c r="F135">
        <f>VLOOKUP(A135,Tabla2[],3,FALSE)</f>
        <v>956</v>
      </c>
      <c r="G135" t="str">
        <f>VLOOKUP(A135,Tabla4[],3,FALSE)</f>
        <v>1.618,8</v>
      </c>
      <c r="H135">
        <f>VLOOKUP(A135,Tabla3[],3,FALSE)</f>
        <v>5.0529999999999999</v>
      </c>
      <c r="I135" t="str">
        <f>VLOOKUP(A135,Tabla16[],2,FALSE)</f>
        <v>10,51</v>
      </c>
      <c r="J135">
        <f>VLOOKUP(A135,Tabla17[],3,FALSE)</f>
        <v>0.27800000000000002</v>
      </c>
      <c r="K135">
        <f>VLOOKUP(A135,Tabla17[],4,FALSE)</f>
        <v>0.29299999999999998</v>
      </c>
      <c r="L135">
        <f>VLOOKUP(A135,Tabla17[],5,FALSE)</f>
        <v>0.42899999999999999</v>
      </c>
      <c r="M135">
        <f>VLOOKUP(A135,Tabla17[],6,FALSE)</f>
        <v>4804</v>
      </c>
      <c r="N135">
        <f>VLOOKUP(A135,Tabla17[],7,FALSE)</f>
        <v>5063</v>
      </c>
      <c r="O135">
        <f>VLOOKUP(A135,Tabla17[],8,FALSE)</f>
        <v>7413</v>
      </c>
      <c r="P135" t="str">
        <f>VLOOKUP(A135,Tabla110[],2,FALSE)</f>
        <v> OUGULYA DE MAURITANIA</v>
      </c>
      <c r="Q135">
        <f>VLOOKUP(A135,Tabla110[],3,FALSE)</f>
        <v>356</v>
      </c>
      <c r="R135">
        <f>VLOOKUP(A135,Tabla29[],2,FALSE)</f>
        <v>1.4730000000000001</v>
      </c>
      <c r="S135">
        <f>VLOOKUP(A135,Tabla29[],3,FALSE)</f>
        <v>40</v>
      </c>
      <c r="T135">
        <f>VLOOKUP(A135,Tabla18[],3,FALSE)</f>
        <v>53.9</v>
      </c>
    </row>
    <row r="136" spans="1:20" x14ac:dyDescent="0.25">
      <c r="A136" s="2" t="s">
        <v>12</v>
      </c>
      <c r="B136" t="str">
        <f>VLOOKUP(A136,Tabla1[],2,FALSE)</f>
        <v>1.832.641.000.000</v>
      </c>
      <c r="C136" t="str">
        <f>VLOOKUP(A136,Tabla1[],3,FALSE)</f>
        <v>0,56%</v>
      </c>
      <c r="D136">
        <f>VLOOKUP(A136,Tabla1[],4,FALSE)</f>
        <v>13.741</v>
      </c>
      <c r="E136">
        <f>VLOOKUP(TRIM(A136),Tabla2[],2,FALSE)</f>
        <v>63.033999999999999</v>
      </c>
      <c r="F136">
        <f>VLOOKUP(A136,Tabla2[],3,FALSE)</f>
        <v>71.055999999999997</v>
      </c>
      <c r="G136" t="str">
        <f>VLOOKUP(A136,Tabla4[],3,FALSE)</f>
        <v>338.679,8</v>
      </c>
      <c r="H136" t="str">
        <f>VLOOKUP(A136,Tabla3[],3,FALSE)</f>
        <v>1.082.457</v>
      </c>
      <c r="I136">
        <f>VLOOKUP(A136,Tabla16[],2,FALSE)</f>
        <v>2.81</v>
      </c>
      <c r="J136">
        <f>VLOOKUP(A136,Tabla17[],3,FALSE)</f>
        <v>3.5999999999999997E-2</v>
      </c>
      <c r="K136">
        <f>VLOOKUP(A136,Tabla17[],4,FALSE)</f>
        <v>0.31900000000000001</v>
      </c>
      <c r="L136">
        <f>VLOOKUP(A136,Tabla17[],5,FALSE)</f>
        <v>0.64500000000000002</v>
      </c>
      <c r="M136" t="str">
        <f>VLOOKUP(A136,Tabla17[],6,FALSE)</f>
        <v>88 668</v>
      </c>
      <c r="N136" t="str">
        <f>VLOOKUP(A136,Tabla17[],7,FALSE)</f>
        <v>785 697</v>
      </c>
      <c r="O136" t="str">
        <f>VLOOKUP(A136,Tabla17[],8,FALSE)</f>
        <v>1 588 635</v>
      </c>
      <c r="P136" t="str">
        <f>VLOOKUP(A136,Tabla110[],2,FALSE)</f>
        <v> PESO MEXICANO</v>
      </c>
      <c r="Q136">
        <f>VLOOKUP(A136,Tabla110[],3,FALSE)</f>
        <v>201572</v>
      </c>
      <c r="R136">
        <f>VLOOKUP(A136,Tabla29[],2,FALSE)</f>
        <v>5.0199999999999996</v>
      </c>
      <c r="S136">
        <f>VLOOKUP(A136,Tabla29[],3,FALSE)</f>
        <v>48</v>
      </c>
      <c r="T136">
        <f>VLOOKUP(A136,Tabla18[],3,FALSE)</f>
        <v>59.8</v>
      </c>
    </row>
    <row r="137" spans="1:20" x14ac:dyDescent="0.25">
      <c r="A137" s="2" t="s">
        <v>28</v>
      </c>
      <c r="B137" t="str">
        <f>VLOOKUP(A137,Tabla1[],2,FALSE)</f>
        <v>502.000.000</v>
      </c>
      <c r="C137" t="str">
        <f>VLOOKUP(A137,Tabla1[],3,FALSE)</f>
        <v>1,06%</v>
      </c>
      <c r="D137">
        <f>VLOOKUP(A137,Tabla1[],4,FALSE)</f>
        <v>5.3079999999999998</v>
      </c>
      <c r="E137" t="e">
        <f>VLOOKUP(TRIM(A137),Tabla2[],2,FALSE)</f>
        <v>#N/A</v>
      </c>
      <c r="F137" t="e">
        <f>VLOOKUP(A137,Tabla2[],3,FALSE)</f>
        <v>#N/A</v>
      </c>
      <c r="G137" t="e">
        <f>VLOOKUP(A137,Tabla4[],3,FALSE)</f>
        <v>#N/A</v>
      </c>
      <c r="H137" t="e">
        <f>VLOOKUP(A137,Tabla3[],3,FALSE)</f>
        <v>#N/A</v>
      </c>
      <c r="I137" t="e">
        <f>VLOOKUP(A137,Tabla16[],2,FALSE)</f>
        <v>#N/A</v>
      </c>
      <c r="J137" t="e">
        <f>VLOOKUP(A137,Tabla17[],3,FALSE)</f>
        <v>#N/A</v>
      </c>
      <c r="K137" t="e">
        <f>VLOOKUP(A137,Tabla17[],4,FALSE)</f>
        <v>#N/A</v>
      </c>
      <c r="L137" t="e">
        <f>VLOOKUP(A137,Tabla17[],5,FALSE)</f>
        <v>#N/A</v>
      </c>
      <c r="M137" t="e">
        <f>VLOOKUP(A137,Tabla17[],6,FALSE)</f>
        <v>#N/A</v>
      </c>
      <c r="N137" t="e">
        <f>VLOOKUP(A137,Tabla17[],7,FALSE)</f>
        <v>#N/A</v>
      </c>
      <c r="O137" t="e">
        <f>VLOOKUP(A137,Tabla17[],8,FALSE)</f>
        <v>#N/A</v>
      </c>
      <c r="P137" t="e">
        <f>VLOOKUP(A137,Tabla110[],2,FALSE)</f>
        <v>#N/A</v>
      </c>
      <c r="Q137" t="e">
        <f>VLOOKUP(A137,Tabla110[],3,FALSE)</f>
        <v>#N/A</v>
      </c>
      <c r="R137" t="e">
        <f>VLOOKUP(A137,Tabla29[],2,FALSE)</f>
        <v>#N/A</v>
      </c>
      <c r="S137" t="e">
        <f>VLOOKUP(A137,Tabla29[],3,FALSE)</f>
        <v>#N/A</v>
      </c>
      <c r="T137" t="e">
        <f>VLOOKUP(A137,Tabla18[],3,FALSE)</f>
        <v>#N/A</v>
      </c>
    </row>
    <row r="138" spans="1:20" x14ac:dyDescent="0.25">
      <c r="A138" s="1" t="s">
        <v>79</v>
      </c>
      <c r="B138" t="str">
        <f>VLOOKUP(A138,Tabla1[],2,FALSE)</f>
        <v>20.342.000.000</v>
      </c>
      <c r="C138" t="str">
        <f>VLOOKUP(A138,Tabla1[],3,FALSE)</f>
        <v>2,42%</v>
      </c>
      <c r="D138">
        <f>VLOOKUP(A138,Tabla1[],4,FALSE)</f>
        <v>8.5419999999999998</v>
      </c>
      <c r="E138">
        <f>VLOOKUP(A138,Tabla2[],2,FALSE)</f>
        <v>2.4409999999999998</v>
      </c>
      <c r="F138">
        <f>VLOOKUP(A138,Tabla2[],3,FALSE)</f>
        <v>1.546</v>
      </c>
      <c r="G138" t="str">
        <f>VLOOKUP(A138,Tabla4[],3,FALSE)</f>
        <v>5.735,7</v>
      </c>
      <c r="H138">
        <f>VLOOKUP(A138,Tabla3[],3,FALSE)</f>
        <v>7.0579999999999998</v>
      </c>
      <c r="I138">
        <f>VLOOKUP(A138,Tabla16[],2,FALSE)</f>
        <v>1.62</v>
      </c>
      <c r="J138">
        <f>VLOOKUP(A138,Tabla17[],3,FALSE)</f>
        <v>0.17699999999999999</v>
      </c>
      <c r="K138">
        <f>VLOOKUP(A138,Tabla17[],4,FALSE)</f>
        <v>0.20300000000000001</v>
      </c>
      <c r="L138">
        <f>VLOOKUP(A138,Tabla17[],5,FALSE)</f>
        <v>0.62</v>
      </c>
      <c r="M138">
        <f>VLOOKUP(A138,Tabla17[],6,FALSE)</f>
        <v>4198</v>
      </c>
      <c r="N138">
        <f>VLOOKUP(A138,Tabla17[],7,FALSE)</f>
        <v>4815</v>
      </c>
      <c r="O138" t="str">
        <f>VLOOKUP(A138,Tabla17[],8,FALSE)</f>
        <v>14 706</v>
      </c>
      <c r="P138" t="str">
        <f>VLOOKUP(A138,Tabla110[],2,FALSE)</f>
        <v> LEU DE MOLDAVIA</v>
      </c>
      <c r="Q138" t="str">
        <f>VLOOKUP(A138,Tabla110[],3,FALSE)</f>
        <v>18,33</v>
      </c>
      <c r="R138">
        <f>VLOOKUP(A138,Tabla29[],2,FALSE)</f>
        <v>2.7149999999999999</v>
      </c>
      <c r="S138">
        <f>VLOOKUP(A138,Tabla29[],3,FALSE)</f>
        <v>40</v>
      </c>
      <c r="T138">
        <f>VLOOKUP(A138,Tabla18[],3,FALSE)</f>
        <v>58.1</v>
      </c>
    </row>
    <row r="139" spans="1:20" x14ac:dyDescent="0.25">
      <c r="A139" s="1" t="s">
        <v>177</v>
      </c>
      <c r="B139" t="str">
        <f>VLOOKUP(A139,Tabla1[],2,FALSE)</f>
        <v>9.995.350.547</v>
      </c>
      <c r="C139" t="str">
        <f>VLOOKUP(A139,Tabla1[],3,FALSE)</f>
        <v>5,04%</v>
      </c>
      <c r="D139">
        <f>VLOOKUP(A139,Tabla1[],4,FALSE)</f>
        <v>256.58100000000002</v>
      </c>
      <c r="E139" t="e">
        <f>VLOOKUP(A139,Tabla2[],2,FALSE)</f>
        <v>#N/A</v>
      </c>
      <c r="F139" t="e">
        <f>VLOOKUP(A139,Tabla2[],3,FALSE)</f>
        <v>#N/A</v>
      </c>
      <c r="G139" t="e">
        <f>VLOOKUP(A139,Tabla4[],3,FALSE)</f>
        <v>#N/A</v>
      </c>
      <c r="H139" t="e">
        <f>VLOOKUP(A139,Tabla3[],3,FALSE)</f>
        <v>#N/A</v>
      </c>
      <c r="I139" t="e">
        <f>VLOOKUP(A139,Tabla16[],2,FALSE)</f>
        <v>#N/A</v>
      </c>
      <c r="J139">
        <f>VLOOKUP(A139,Tabla17[],3,FALSE)</f>
        <v>0</v>
      </c>
      <c r="K139">
        <f>VLOOKUP(A139,Tabla17[],4,FALSE)</f>
        <v>0.14000000000000001</v>
      </c>
      <c r="L139">
        <f>VLOOKUP(A139,Tabla17[],5,FALSE)</f>
        <v>0.86</v>
      </c>
      <c r="M139">
        <f>VLOOKUP(A139,Tabla17[],6,FALSE)</f>
        <v>0</v>
      </c>
      <c r="N139">
        <f>VLOOKUP(A139,Tabla17[],7,FALSE)</f>
        <v>1074</v>
      </c>
      <c r="O139">
        <f>VLOOKUP(A139,Tabla17[],8,FALSE)</f>
        <v>6598</v>
      </c>
      <c r="P139" t="e">
        <f>VLOOKUP(A139,Tabla110[],2,FALSE)</f>
        <v>#N/A</v>
      </c>
      <c r="Q139" t="e">
        <f>VLOOKUP(A139,Tabla110[],3,FALSE)</f>
        <v>#N/A</v>
      </c>
      <c r="R139">
        <f>VLOOKUP(A139,Tabla29[],2,FALSE)</f>
        <v>24.091999999999999</v>
      </c>
      <c r="S139">
        <f>VLOOKUP(A139,Tabla29[],3,FALSE)</f>
        <v>39</v>
      </c>
      <c r="T139" t="e">
        <f>VLOOKUP(A139,Tabla18[],3,FALSE)</f>
        <v>#N/A</v>
      </c>
    </row>
    <row r="140" spans="1:20" x14ac:dyDescent="0.25">
      <c r="A140" s="1" t="s">
        <v>203</v>
      </c>
      <c r="B140" t="str">
        <f>VLOOKUP(A140,Tabla1[],2,FALSE)</f>
        <v>25.370.000.000</v>
      </c>
      <c r="C140" t="str">
        <f>VLOOKUP(A140,Tabla1[],3,FALSE)</f>
        <v>6,84%</v>
      </c>
      <c r="D140">
        <f>VLOOKUP(A140,Tabla1[],4,FALSE)</f>
        <v>7.0789999999999997</v>
      </c>
      <c r="E140">
        <f>VLOOKUP(A140,Tabla2[],2,FALSE)</f>
        <v>1.587</v>
      </c>
      <c r="F140">
        <f>VLOOKUP(A140,Tabla2[],3,FALSE)</f>
        <v>4.1790000000000003</v>
      </c>
      <c r="G140" t="str">
        <f>VLOOKUP(A140,Tabla4[],3,FALSE)</f>
        <v>5.068,2</v>
      </c>
      <c r="H140">
        <f>VLOOKUP(A140,Tabla3[],3,FALSE)</f>
        <v>10.483000000000001</v>
      </c>
      <c r="I140">
        <f>VLOOKUP(A140,Tabla16[],2,FALSE)</f>
        <v>6.13</v>
      </c>
      <c r="J140">
        <f>VLOOKUP(A140,Tabla17[],3,FALSE)</f>
        <v>0.121</v>
      </c>
      <c r="K140">
        <f>VLOOKUP(A140,Tabla17[],4,FALSE)</f>
        <v>0.38200000000000001</v>
      </c>
      <c r="L140">
        <f>VLOOKUP(A140,Tabla17[],5,FALSE)</f>
        <v>0.497</v>
      </c>
      <c r="M140">
        <f>VLOOKUP(A140,Tabla17[],6,FALSE)</f>
        <v>4807</v>
      </c>
      <c r="N140" t="str">
        <f>VLOOKUP(A140,Tabla17[],7,FALSE)</f>
        <v>15 177</v>
      </c>
      <c r="O140" t="str">
        <f>VLOOKUP(A140,Tabla17[],8,FALSE)</f>
        <v>19 746</v>
      </c>
      <c r="P140" t="str">
        <f>VLOOKUP(A140,Tabla110[],2,FALSE)</f>
        <v> TOGROG/TUGRIK MONGOLIA</v>
      </c>
      <c r="Q140">
        <f>VLOOKUP(A140,Tabla110[],3,FALSE)</f>
        <v>3419</v>
      </c>
      <c r="R140">
        <f>VLOOKUP(A140,Tabla29[],2,FALSE)</f>
        <v>3.3359999999999999</v>
      </c>
      <c r="S140">
        <f>VLOOKUP(A140,Tabla29[],3,FALSE)</f>
        <v>40</v>
      </c>
      <c r="T140">
        <f>VLOOKUP(A140,Tabla18[],3,FALSE)</f>
        <v>63.9</v>
      </c>
    </row>
    <row r="141" spans="1:20" x14ac:dyDescent="0.25">
      <c r="A141" s="2" t="s">
        <v>90</v>
      </c>
      <c r="B141" t="str">
        <f>VLOOKUP(A141,Tabla1[],2,FALSE)</f>
        <v>9.228.000.000</v>
      </c>
      <c r="C141" t="str">
        <f>VLOOKUP(A141,Tabla1[],3,FALSE)</f>
        <v>2,70%</v>
      </c>
      <c r="D141">
        <f>VLOOKUP(A141,Tabla1[],4,FALSE)</f>
        <v>14.784000000000001</v>
      </c>
      <c r="E141">
        <f>VLOOKUP(A141,Tabla2[],2,FALSE)</f>
        <v>2.9950000000000001</v>
      </c>
      <c r="F141">
        <f>VLOOKUP(A141,Tabla2[],3,FALSE)</f>
        <v>1.1619999999999999</v>
      </c>
      <c r="G141" t="e">
        <f>VLOOKUP(A141,Tabla4[],3,FALSE)</f>
        <v>#N/A</v>
      </c>
      <c r="H141">
        <f>VLOOKUP(A141,Tabla3[],3,FALSE)</f>
        <v>5.0259999999999998</v>
      </c>
      <c r="I141">
        <f>VLOOKUP(A141,Tabla16[],2,FALSE)</f>
        <v>15.25</v>
      </c>
      <c r="J141">
        <f>VLOOKUP(A141,Tabla17[],3,FALSE)</f>
        <v>7.4999999999999997E-2</v>
      </c>
      <c r="K141">
        <f>VLOOKUP(A141,Tabla17[],4,FALSE)</f>
        <v>0.159</v>
      </c>
      <c r="L141">
        <f>VLOOKUP(A141,Tabla17[],5,FALSE)</f>
        <v>0.76600000000000001</v>
      </c>
      <c r="M141">
        <f>VLOOKUP(A141,Tabla17[],6,FALSE)</f>
        <v>831</v>
      </c>
      <c r="N141">
        <f>VLOOKUP(A141,Tabla17[],7,FALSE)</f>
        <v>1762</v>
      </c>
      <c r="O141">
        <f>VLOOKUP(A141,Tabla17[],8,FALSE)</f>
        <v>8487</v>
      </c>
      <c r="P141" t="e">
        <f>VLOOKUP(A141,Tabla110[],2,FALSE)</f>
        <v>#N/A</v>
      </c>
      <c r="Q141" t="e">
        <f>VLOOKUP(A141,Tabla110[],3,FALSE)</f>
        <v>#N/A</v>
      </c>
      <c r="R141">
        <f>VLOOKUP(A141,Tabla29[],2,FALSE)</f>
        <v>6.3869999999999996</v>
      </c>
      <c r="S141">
        <f>VLOOKUP(A141,Tabla29[],3,FALSE)</f>
        <v>40</v>
      </c>
      <c r="T141">
        <f>VLOOKUP(A141,Tabla18[],3,FALSE)</f>
        <v>63.8</v>
      </c>
    </row>
    <row r="142" spans="1:20" x14ac:dyDescent="0.25">
      <c r="A142" s="2" t="s">
        <v>208</v>
      </c>
      <c r="B142" t="str">
        <f>VLOOKUP(A142,Tabla1[],2,FALSE)</f>
        <v>80.429.630</v>
      </c>
      <c r="C142" t="str">
        <f>VLOOKUP(A142,Tabla1[],3,FALSE)</f>
        <v>7,29%</v>
      </c>
      <c r="D142">
        <f>VLOOKUP(A142,Tabla1[],4,FALSE)</f>
        <v>18.196999999999999</v>
      </c>
      <c r="E142" t="e">
        <f>VLOOKUP(A142,Tabla2[],2,FALSE)</f>
        <v>#N/A</v>
      </c>
      <c r="F142" t="e">
        <f>VLOOKUP(A142,Tabla2[],3,FALSE)</f>
        <v>#N/A</v>
      </c>
      <c r="G142" t="e">
        <f>VLOOKUP(A142,Tabla4[],3,FALSE)</f>
        <v>#N/A</v>
      </c>
      <c r="H142" t="e">
        <f>VLOOKUP(A142,Tabla3[],3,FALSE)</f>
        <v>#N/A</v>
      </c>
      <c r="I142" t="e">
        <f>VLOOKUP(A142,Tabla16[],2,FALSE)</f>
        <v>#N/A</v>
      </c>
      <c r="J142">
        <f>VLOOKUP(A142,Tabla17[],3,FALSE)</f>
        <v>1.9E-2</v>
      </c>
      <c r="K142">
        <f>VLOOKUP(A142,Tabla17[],4,FALSE)</f>
        <v>7.8E-2</v>
      </c>
      <c r="L142">
        <f>VLOOKUP(A142,Tabla17[],5,FALSE)</f>
        <v>0.90300000000000002</v>
      </c>
      <c r="M142">
        <f>VLOOKUP(A142,Tabla17[],6,FALSE)</f>
        <v>3</v>
      </c>
      <c r="N142">
        <f>VLOOKUP(A142,Tabla17[],7,FALSE)</f>
        <v>13</v>
      </c>
      <c r="O142">
        <f>VLOOKUP(A142,Tabla17[],8,FALSE)</f>
        <v>151</v>
      </c>
      <c r="P142" t="e">
        <f>VLOOKUP(A142,Tabla110[],2,FALSE)</f>
        <v>#N/A</v>
      </c>
      <c r="Q142" t="e">
        <f>VLOOKUP(A142,Tabla110[],3,FALSE)</f>
        <v>#N/A</v>
      </c>
      <c r="R142" t="e">
        <f>VLOOKUP(A142,Tabla29[],2,FALSE)</f>
        <v>#N/A</v>
      </c>
      <c r="S142" t="e">
        <f>VLOOKUP(A142,Tabla29[],3,FALSE)</f>
        <v>#N/A</v>
      </c>
      <c r="T142" t="e">
        <f>VLOOKUP(A142,Tabla18[],3,FALSE)</f>
        <v>#N/A</v>
      </c>
    </row>
    <row r="143" spans="1:20" x14ac:dyDescent="0.25">
      <c r="A143" s="1" t="s">
        <v>9</v>
      </c>
      <c r="B143" t="str">
        <f>VLOOKUP(A143,Tabla1[],2,FALSE)</f>
        <v>22.338.000.000</v>
      </c>
      <c r="C143" t="str">
        <f>VLOOKUP(A143,Tabla1[],3,FALSE)</f>
        <v>−0,52%</v>
      </c>
      <c r="D143">
        <f>VLOOKUP(A143,Tabla1[],4,FALSE)</f>
        <v>623</v>
      </c>
      <c r="E143">
        <f>VLOOKUP(TRIM(A143),Tabla2[],2,FALSE)</f>
        <v>1.1279999999999999</v>
      </c>
      <c r="F143">
        <f>VLOOKUP(A143,Tabla2[],3,FALSE)</f>
        <v>2</v>
      </c>
      <c r="G143" t="str">
        <f>VLOOKUP(A143,Tabla4[],3,FALSE)</f>
        <v>4.243,0</v>
      </c>
      <c r="H143">
        <f>VLOOKUP(A143,Tabla3[],3,FALSE)</f>
        <v>23.876000000000001</v>
      </c>
      <c r="I143" t="str">
        <f>VLOOKUP(A143,Tabla16[],2,FALSE)</f>
        <v>3,54</v>
      </c>
      <c r="J143">
        <f>VLOOKUP(A143,Tabla17[],3,FALSE)</f>
        <v>0.23899999999999999</v>
      </c>
      <c r="K143">
        <f>VLOOKUP(A143,Tabla17[],4,FALSE)</f>
        <v>0.193</v>
      </c>
      <c r="L143">
        <f>VLOOKUP(A143,Tabla17[],5,FALSE)</f>
        <v>0.56799999999999995</v>
      </c>
      <c r="M143">
        <f>VLOOKUP(A143,Tabla17[],6,FALSE)</f>
        <v>8865</v>
      </c>
      <c r="N143">
        <f>VLOOKUP(A143,Tabla17[],7,FALSE)</f>
        <v>7158</v>
      </c>
      <c r="O143" t="str">
        <f>VLOOKUP(A143,Tabla17[],8,FALSE)</f>
        <v>21 067</v>
      </c>
      <c r="P143" t="str">
        <f>VLOOKUP(A143,Tabla110[],2,FALSE)</f>
        <v> METICAL MOZAMBIQUEÑO</v>
      </c>
      <c r="Q143" t="str">
        <f>VLOOKUP(A143,Tabla110[],3,FALSE)</f>
        <v>63,25</v>
      </c>
      <c r="R143">
        <f>VLOOKUP(A143,Tabla29[],2,FALSE)</f>
        <v>906</v>
      </c>
      <c r="S143">
        <f>VLOOKUP(A143,Tabla29[],3,FALSE)</f>
        <v>40</v>
      </c>
      <c r="T143">
        <f>VLOOKUP(A143,Tabla18[],3,FALSE)</f>
        <v>49.6</v>
      </c>
    </row>
    <row r="144" spans="1:20" x14ac:dyDescent="0.25">
      <c r="A144" s="1" t="s">
        <v>55</v>
      </c>
      <c r="B144" t="str">
        <f>VLOOKUP(A144,Tabla1[],2,FALSE)</f>
        <v>82.400.000.000</v>
      </c>
      <c r="C144" t="str">
        <f>VLOOKUP(A144,Tabla1[],3,FALSE)</f>
        <v>−1,96%</v>
      </c>
      <c r="D144">
        <f>VLOOKUP(A144,Tabla1[],4,FALSE)</f>
        <v>1.502</v>
      </c>
      <c r="E144">
        <f>VLOOKUP(A144,Tabla2[],2,FALSE)</f>
        <v>6.6829999999999998</v>
      </c>
      <c r="F144">
        <f>VLOOKUP(A144,Tabla2[],3,FALSE)</f>
        <v>3.665</v>
      </c>
      <c r="G144" t="e">
        <f>VLOOKUP(A144,Tabla4[],3,FALSE)</f>
        <v>#N/A</v>
      </c>
      <c r="H144">
        <f>VLOOKUP(A144,Tabla3[],3,FALSE)</f>
        <v>31.975000000000001</v>
      </c>
      <c r="I144" t="e">
        <f>VLOOKUP(A144,Tabla16[],2,FALSE)</f>
        <v>#N/A</v>
      </c>
      <c r="J144" t="e">
        <f>VLOOKUP(A144,Tabla17[],3,FALSE)</f>
        <v>#N/A</v>
      </c>
      <c r="K144" t="e">
        <f>VLOOKUP(A144,Tabla17[],4,FALSE)</f>
        <v>#N/A</v>
      </c>
      <c r="L144" t="e">
        <f>VLOOKUP(A144,Tabla17[],5,FALSE)</f>
        <v>#N/A</v>
      </c>
      <c r="M144" t="e">
        <f>VLOOKUP(A144,Tabla17[],6,FALSE)</f>
        <v>#N/A</v>
      </c>
      <c r="N144" t="e">
        <f>VLOOKUP(A144,Tabla17[],7,FALSE)</f>
        <v>#N/A</v>
      </c>
      <c r="O144" t="e">
        <f>VLOOKUP(A144,Tabla17[],8,FALSE)</f>
        <v>#N/A</v>
      </c>
      <c r="P144" t="e">
        <f>VLOOKUP(A144,Tabla110[],2,FALSE)</f>
        <v>#N/A</v>
      </c>
      <c r="Q144" t="e">
        <f>VLOOKUP(A144,Tabla110[],3,FALSE)</f>
        <v>#N/A</v>
      </c>
      <c r="R144">
        <f>VLOOKUP(A144,Tabla29[],2,FALSE)</f>
        <v>691</v>
      </c>
      <c r="S144">
        <f>VLOOKUP(A144,Tabla29[],3,FALSE)</f>
        <v>44</v>
      </c>
      <c r="T144" t="e">
        <f>VLOOKUP(A144,Tabla18[],3,FALSE)</f>
        <v>#N/A</v>
      </c>
    </row>
    <row r="145" spans="1:20" x14ac:dyDescent="0.25">
      <c r="A145" s="2" t="s">
        <v>80</v>
      </c>
      <c r="B145" t="str">
        <f>VLOOKUP(A145,Tabla1[],2,FALSE)</f>
        <v>14.826.000.000</v>
      </c>
      <c r="C145" t="str">
        <f>VLOOKUP(A145,Tabla1[],3,FALSE)</f>
        <v>2,44%</v>
      </c>
      <c r="D145">
        <f>VLOOKUP(A145,Tabla1[],4,FALSE)</f>
        <v>4.8620000000000001</v>
      </c>
      <c r="E145">
        <f>VLOOKUP(A145,Tabla2[],2,FALSE)</f>
        <v>1.0429999999999999</v>
      </c>
      <c r="F145">
        <f>VLOOKUP(A145,Tabla2[],3,FALSE)</f>
        <v>2.0019999999999998</v>
      </c>
      <c r="G145" t="str">
        <f>VLOOKUP(A145,Tabla4[],3,FALSE)</f>
        <v>3.119,1</v>
      </c>
      <c r="H145">
        <f>VLOOKUP(A145,Tabla3[],3,FALSE)</f>
        <v>8.3290000000000006</v>
      </c>
      <c r="I145">
        <f>VLOOKUP(A145,Tabla16[],2,FALSE)</f>
        <v>19.420000000000002</v>
      </c>
      <c r="J145">
        <f>VLOOKUP(A145,Tabla17[],3,FALSE)</f>
        <v>6.7000000000000004E-2</v>
      </c>
      <c r="K145">
        <f>VLOOKUP(A145,Tabla17[],4,FALSE)</f>
        <v>0.26300000000000001</v>
      </c>
      <c r="L145">
        <f>VLOOKUP(A145,Tabla17[],5,FALSE)</f>
        <v>0.67</v>
      </c>
      <c r="M145">
        <f>VLOOKUP(A145,Tabla17[],6,FALSE)</f>
        <v>1782</v>
      </c>
      <c r="N145">
        <f>VLOOKUP(A145,Tabla17[],7,FALSE)</f>
        <v>6996</v>
      </c>
      <c r="O145" t="str">
        <f>VLOOKUP(A145,Tabla17[],8,FALSE)</f>
        <v>17 822</v>
      </c>
      <c r="P145" t="str">
        <f>VLOOKUP(A145,Tabla110[],2,FALSE)</f>
        <v> DÓLAR DE NAMIBIA</v>
      </c>
      <c r="Q145">
        <f>VLOOKUP(A145,Tabla110[],3,FALSE)</f>
        <v>187459</v>
      </c>
      <c r="R145">
        <f>VLOOKUP(A145,Tabla29[],2,FALSE)</f>
        <v>0</v>
      </c>
      <c r="S145">
        <f>VLOOKUP(A145,Tabla29[],3,FALSE)</f>
        <v>45</v>
      </c>
      <c r="T145">
        <f>VLOOKUP(A145,Tabla18[],3,FALSE)</f>
        <v>60.2</v>
      </c>
    </row>
    <row r="146" spans="1:20" x14ac:dyDescent="0.25">
      <c r="A146" s="1" t="s">
        <v>73</v>
      </c>
      <c r="B146" t="str">
        <f>VLOOKUP(A146,Tabla1[],2,FALSE)</f>
        <v>176.000.000</v>
      </c>
      <c r="C146" t="str">
        <f>VLOOKUP(A146,Tabla1[],3,FALSE)</f>
        <v>2,21%</v>
      </c>
      <c r="D146">
        <f>VLOOKUP(A146,Tabla1[],4,FALSE)</f>
        <v>14.584</v>
      </c>
      <c r="E146">
        <f>VLOOKUP(A146,Tabla2[],2,FALSE)</f>
        <v>33</v>
      </c>
      <c r="F146">
        <f>VLOOKUP(A146,Tabla2[],3,FALSE)</f>
        <v>61</v>
      </c>
      <c r="G146" t="str">
        <f>VLOOKUP(A146,Tabla4[],3,FALSE)</f>
        <v>30,8</v>
      </c>
      <c r="H146">
        <f>VLOOKUP(A146,Tabla3[],3,FALSE)</f>
        <v>28</v>
      </c>
      <c r="I146" t="e">
        <f>VLOOKUP(A146,Tabla16[],2,FALSE)</f>
        <v>#N/A</v>
      </c>
      <c r="J146">
        <f>VLOOKUP(A146,Tabla17[],3,FALSE)</f>
        <v>6.0999999999999999E-2</v>
      </c>
      <c r="K146">
        <f>VLOOKUP(A146,Tabla17[],4,FALSE)</f>
        <v>0.33</v>
      </c>
      <c r="L146">
        <f>VLOOKUP(A146,Tabla17[],5,FALSE)</f>
        <v>0.60799999999999998</v>
      </c>
      <c r="M146">
        <f>VLOOKUP(A146,Tabla17[],6,FALSE)</f>
        <v>10</v>
      </c>
      <c r="N146">
        <f>VLOOKUP(A146,Tabla17[],7,FALSE)</f>
        <v>53</v>
      </c>
      <c r="O146">
        <f>VLOOKUP(A146,Tabla17[],8,FALSE)</f>
        <v>97</v>
      </c>
      <c r="P146" t="e">
        <f>VLOOKUP(A146,Tabla110[],2,FALSE)</f>
        <v>#N/A</v>
      </c>
      <c r="Q146" t="e">
        <f>VLOOKUP(A146,Tabla110[],3,FALSE)</f>
        <v>#N/A</v>
      </c>
      <c r="R146">
        <f>VLOOKUP(A146,Tabla29[],2,FALSE)</f>
        <v>0</v>
      </c>
      <c r="S146">
        <f>VLOOKUP(A146,Tabla29[],3,FALSE)</f>
        <v>40</v>
      </c>
      <c r="T146" t="e">
        <f>VLOOKUP(A146,Tabla18[],3,FALSE)</f>
        <v>#N/A</v>
      </c>
    </row>
    <row r="147" spans="1:20" x14ac:dyDescent="0.25">
      <c r="A147" s="1" t="s">
        <v>161</v>
      </c>
      <c r="B147" t="str">
        <f>VLOOKUP(A147,Tabla1[],2,FALSE)</f>
        <v>44.810.000.000</v>
      </c>
      <c r="C147" t="str">
        <f>VLOOKUP(A147,Tabla1[],3,FALSE)</f>
        <v>4,60%</v>
      </c>
      <c r="D147">
        <f>VLOOKUP(A147,Tabla1[],4,FALSE)</f>
        <v>1.512</v>
      </c>
      <c r="E147">
        <f>VLOOKUP(A147,Tabla2[],2,FALSE)</f>
        <v>894</v>
      </c>
      <c r="F147">
        <f>VLOOKUP(A147,Tabla2[],3,FALSE)</f>
        <v>2.0510000000000002</v>
      </c>
      <c r="G147" t="e">
        <f>VLOOKUP(A147,Tabla4[],3,FALSE)</f>
        <v>#N/A</v>
      </c>
      <c r="H147">
        <f>VLOOKUP(A147,Tabla3[],3,FALSE)</f>
        <v>20.783999999999999</v>
      </c>
      <c r="I147" t="str">
        <f>VLOOKUP(A147,Tabla16[],2,FALSE)</f>
        <v>10,69</v>
      </c>
      <c r="J147">
        <f>VLOOKUP(A147,Tabla17[],3,FALSE)</f>
        <v>0.27</v>
      </c>
      <c r="K147">
        <f>VLOOKUP(A147,Tabla17[],4,FALSE)</f>
        <v>0.13500000000000001</v>
      </c>
      <c r="L147">
        <f>VLOOKUP(A147,Tabla17[],5,FALSE)</f>
        <v>0.59499999999999997</v>
      </c>
      <c r="M147" t="str">
        <f>VLOOKUP(A147,Tabla17[],6,FALSE)</f>
        <v>21 381</v>
      </c>
      <c r="N147" t="str">
        <f>VLOOKUP(A147,Tabla17[],7,FALSE)</f>
        <v>10 691</v>
      </c>
      <c r="O147" t="str">
        <f>VLOOKUP(A147,Tabla17[],8,FALSE)</f>
        <v>47 118</v>
      </c>
      <c r="P147" t="str">
        <f>VLOOKUP(A147,Tabla110[],2,FALSE)</f>
        <v> RUPIA DE NEPAL</v>
      </c>
      <c r="Q147" t="str">
        <f>VLOOKUP(A147,Tabla110[],3,FALSE)</f>
        <v>136,42</v>
      </c>
      <c r="R147">
        <f>VLOOKUP(A147,Tabla29[],2,FALSE)</f>
        <v>1.986</v>
      </c>
      <c r="S147">
        <f>VLOOKUP(A147,Tabla29[],3,FALSE)</f>
        <v>48</v>
      </c>
      <c r="T147">
        <f>VLOOKUP(A147,Tabla18[],3,FALSE)</f>
        <v>52.9</v>
      </c>
    </row>
    <row r="148" spans="1:20" x14ac:dyDescent="0.25">
      <c r="A148" s="1" t="s">
        <v>169</v>
      </c>
      <c r="B148" t="str">
        <f>VLOOKUP(A148,Tabla1[],2,FALSE)</f>
        <v>22.237.000.000</v>
      </c>
      <c r="C148" t="str">
        <f>VLOOKUP(A148,Tabla1[],3,FALSE)</f>
        <v>4,92%</v>
      </c>
      <c r="D148">
        <f>VLOOKUP(A148,Tabla1[],4,FALSE)</f>
        <v>3.3370000000000002</v>
      </c>
      <c r="E148">
        <f>VLOOKUP(A148,Tabla2[],2,FALSE)</f>
        <v>1.5609999999999999</v>
      </c>
      <c r="F148">
        <f>VLOOKUP(A148,Tabla2[],3,FALSE)</f>
        <v>1.137</v>
      </c>
      <c r="G148" t="str">
        <f>VLOOKUP(A148,Tabla4[],3,FALSE)</f>
        <v>4.900,2</v>
      </c>
      <c r="H148">
        <f>VLOOKUP(A148,Tabla3[],3,FALSE)</f>
        <v>7.71</v>
      </c>
      <c r="I148" t="str">
        <f>VLOOKUP(A148,Tabla16[],2,FALSE)</f>
        <v>4,80</v>
      </c>
      <c r="J148">
        <f>VLOOKUP(A148,Tabla17[],3,FALSE)</f>
        <v>0.155</v>
      </c>
      <c r="K148">
        <f>VLOOKUP(A148,Tabla17[],4,FALSE)</f>
        <v>0.24399999999999999</v>
      </c>
      <c r="L148">
        <f>VLOOKUP(A148,Tabla17[],5,FALSE)</f>
        <v>0.6</v>
      </c>
      <c r="M148">
        <f>VLOOKUP(A148,Tabla17[],6,FALSE)</f>
        <v>5642</v>
      </c>
      <c r="N148">
        <f>VLOOKUP(A148,Tabla17[],7,FALSE)</f>
        <v>8882</v>
      </c>
      <c r="O148" t="str">
        <f>VLOOKUP(A148,Tabla17[],8,FALSE)</f>
        <v>21 840</v>
      </c>
      <c r="P148" t="str">
        <f>VLOOKUP(A148,Tabla110[],2,FALSE)</f>
        <v> CÓRDOBA DE NICARAGUA</v>
      </c>
      <c r="Q148" t="str">
        <f>VLOOKUP(A148,Tabla110[],3,FALSE)</f>
        <v>36,6</v>
      </c>
      <c r="R148">
        <f>VLOOKUP(A148,Tabla29[],2,FALSE)</f>
        <v>1.506</v>
      </c>
      <c r="S148">
        <f>VLOOKUP(A148,Tabla29[],3,FALSE)</f>
        <v>48</v>
      </c>
      <c r="T148">
        <f>VLOOKUP(A148,Tabla18[],3,FALSE)</f>
        <v>53.6</v>
      </c>
    </row>
    <row r="149" spans="1:20" x14ac:dyDescent="0.25">
      <c r="A149" s="2" t="s">
        <v>204</v>
      </c>
      <c r="B149" t="str">
        <f>VLOOKUP(A149,Tabla1[],2,FALSE)</f>
        <v>21.836.000.000</v>
      </c>
      <c r="C149" t="str">
        <f>VLOOKUP(A149,Tabla1[],3,FALSE)</f>
        <v>6,90%</v>
      </c>
      <c r="D149">
        <f>VLOOKUP(A149,Tabla1[],4,FALSE)</f>
        <v>750</v>
      </c>
      <c r="E149">
        <f>VLOOKUP(A149,Tabla2[],2,FALSE)</f>
        <v>231</v>
      </c>
      <c r="F149">
        <f>VLOOKUP(A149,Tabla2[],3,FALSE)</f>
        <v>1.2190000000000001</v>
      </c>
      <c r="G149" t="str">
        <f>VLOOKUP(A149,Tabla4[],3,FALSE)</f>
        <v>1.423,4</v>
      </c>
      <c r="H149">
        <f>VLOOKUP(A149,Tabla3[],3,FALSE)</f>
        <v>9.3810000000000002</v>
      </c>
      <c r="I149" t="str">
        <f>VLOOKUP(A149,Tabla16[],2,FALSE)</f>
        <v>0,55</v>
      </c>
      <c r="J149">
        <f>VLOOKUP(A149,Tabla17[],3,FALSE)</f>
        <v>0.41599999999999998</v>
      </c>
      <c r="K149">
        <f>VLOOKUP(A149,Tabla17[],4,FALSE)</f>
        <v>0.19500000000000001</v>
      </c>
      <c r="L149">
        <f>VLOOKUP(A149,Tabla17[],5,FALSE)</f>
        <v>0.38700000000000001</v>
      </c>
      <c r="M149">
        <f>VLOOKUP(A149,Tabla17[],6,FALSE)</f>
        <v>9094</v>
      </c>
      <c r="N149">
        <f>VLOOKUP(A149,Tabla17[],7,FALSE)</f>
        <v>4263</v>
      </c>
      <c r="O149">
        <f>VLOOKUP(A149,Tabla17[],8,FALSE)</f>
        <v>8460</v>
      </c>
      <c r="P149" t="e">
        <f>VLOOKUP(A149,Tabla110[],2,FALSE)</f>
        <v>#N/A</v>
      </c>
      <c r="Q149" t="e">
        <f>VLOOKUP(A149,Tabla110[],3,FALSE)</f>
        <v>#N/A</v>
      </c>
      <c r="R149">
        <f>VLOOKUP(A149,Tabla29[],2,FALSE)</f>
        <v>650</v>
      </c>
      <c r="S149">
        <f>VLOOKUP(A149,Tabla29[],3,FALSE)</f>
        <v>40</v>
      </c>
      <c r="T149">
        <f>VLOOKUP(A149,Tabla18[],3,FALSE)</f>
        <v>51</v>
      </c>
    </row>
    <row r="150" spans="1:20" x14ac:dyDescent="0.25">
      <c r="A150" s="1" t="s">
        <v>143</v>
      </c>
      <c r="B150" t="str">
        <f>VLOOKUP(A150,Tabla1[],2,FALSE)</f>
        <v>290.491.000.000</v>
      </c>
      <c r="C150" t="str">
        <f>VLOOKUP(A150,Tabla1[],3,FALSE)</f>
        <v>4,01%</v>
      </c>
      <c r="D150">
        <f>VLOOKUP(A150,Tabla1[],4,FALSE)</f>
        <v>1.2230000000000001</v>
      </c>
      <c r="E150">
        <f>VLOOKUP(A150,Tabla2[],2,FALSE)</f>
        <v>4.4409999999999998</v>
      </c>
      <c r="F150">
        <f>VLOOKUP(A150,Tabla2[],3,FALSE)</f>
        <v>17.677</v>
      </c>
      <c r="G150" t="str">
        <f>VLOOKUP(A150,Tabla4[],3,FALSE)</f>
        <v>29.791,2</v>
      </c>
      <c r="H150">
        <f>VLOOKUP(A150,Tabla3[],3,FALSE)</f>
        <v>99.162000000000006</v>
      </c>
      <c r="I150">
        <f>VLOOKUP(A150,Tabla16[],2,FALSE)</f>
        <v>3.07</v>
      </c>
      <c r="J150">
        <f>VLOOKUP(A150,Tabla17[],3,FALSE)</f>
        <v>0.21099999999999999</v>
      </c>
      <c r="K150">
        <f>VLOOKUP(A150,Tabla17[],4,FALSE)</f>
        <v>0.22500000000000001</v>
      </c>
      <c r="L150">
        <f>VLOOKUP(A150,Tabla17[],5,FALSE)</f>
        <v>0.56399999999999995</v>
      </c>
      <c r="M150" t="str">
        <f>VLOOKUP(A150,Tabla17[],6,FALSE)</f>
        <v>236 531</v>
      </c>
      <c r="N150" t="str">
        <f>VLOOKUP(A150,Tabla17[],7,FALSE)</f>
        <v>252 225</v>
      </c>
      <c r="O150" t="str">
        <f>VLOOKUP(A150,Tabla17[],8,FALSE)</f>
        <v>632 244</v>
      </c>
      <c r="P150" t="str">
        <f>VLOOKUP(A150,Tabla110[],2,FALSE)</f>
        <v> NAIRA DE NIGERIA</v>
      </c>
      <c r="Q150" t="str">
        <f>VLOOKUP(A150,Tabla110[],3,FALSE)</f>
        <v>1537,57</v>
      </c>
      <c r="R150">
        <f>VLOOKUP(A150,Tabla29[],2,FALSE)</f>
        <v>2.1030000000000002</v>
      </c>
      <c r="S150">
        <f>VLOOKUP(A150,Tabla29[],3,FALSE)</f>
        <v>40</v>
      </c>
      <c r="T150">
        <f>VLOOKUP(A150,Tabla18[],3,FALSE)</f>
        <v>54.8</v>
      </c>
    </row>
    <row r="151" spans="1:20" x14ac:dyDescent="0.25">
      <c r="A151" s="1" t="s">
        <v>29</v>
      </c>
      <c r="B151" t="str">
        <f>VLOOKUP(A151,Tabla1[],2,FALSE)</f>
        <v>530.756.000.000</v>
      </c>
      <c r="C151" t="str">
        <f>VLOOKUP(A151,Tabla1[],3,FALSE)</f>
        <v>1,08%</v>
      </c>
      <c r="D151">
        <f>VLOOKUP(A151,Tabla1[],4,FALSE)</f>
        <v>94.468000000000004</v>
      </c>
      <c r="E151">
        <f>VLOOKUP(TRIM(A151),Tabla2[],2,FALSE)</f>
        <v>56.85</v>
      </c>
      <c r="F151">
        <f>VLOOKUP(A151,Tabla2[],3,FALSE)</f>
        <v>64.209999999999994</v>
      </c>
      <c r="G151" t="str">
        <f>VLOOKUP(A151,Tabla4[],3,FALSE)</f>
        <v>194.358,7</v>
      </c>
      <c r="H151">
        <f>VLOOKUP(A151,Tabla3[],3,FALSE)</f>
        <v>213.124</v>
      </c>
      <c r="I151" t="str">
        <f>VLOOKUP(A151,Tabla16[],2,FALSE)</f>
        <v>3,58</v>
      </c>
      <c r="J151">
        <f>VLOOKUP(A151,Tabla17[],3,FALSE)</f>
        <v>2.3E-2</v>
      </c>
      <c r="K151">
        <f>VLOOKUP(A151,Tabla17[],4,FALSE)</f>
        <v>0.33700000000000002</v>
      </c>
      <c r="L151">
        <f>VLOOKUP(A151,Tabla17[],5,FALSE)</f>
        <v>0.64</v>
      </c>
      <c r="M151">
        <f>VLOOKUP(A151,Tabla17[],6,FALSE)</f>
        <v>8768</v>
      </c>
      <c r="N151" t="str">
        <f>VLOOKUP(A151,Tabla17[],7,FALSE)</f>
        <v>128 464</v>
      </c>
      <c r="O151" t="str">
        <f>VLOOKUP(A151,Tabla17[],8,FALSE)</f>
        <v>243 968</v>
      </c>
      <c r="P151" t="str">
        <f>VLOOKUP(A151,Tabla110[],2,FALSE)</f>
        <v> CORONA NORUEGA</v>
      </c>
      <c r="Q151">
        <f>VLOOKUP(A151,Tabla110[],3,FALSE)</f>
        <v>113588</v>
      </c>
      <c r="R151">
        <f>VLOOKUP(A151,Tabla29[],2,FALSE)</f>
        <v>0</v>
      </c>
      <c r="S151">
        <f>VLOOKUP(A151,Tabla29[],3,FALSE)</f>
        <v>37.5</v>
      </c>
      <c r="T151">
        <f>VLOOKUP(A151,Tabla18[],3,FALSE)</f>
        <v>78.8</v>
      </c>
    </row>
    <row r="152" spans="1:20" x14ac:dyDescent="0.25">
      <c r="A152" s="2" t="s">
        <v>8</v>
      </c>
      <c r="B152" t="str">
        <f>VLOOKUP(A152,Tabla1[],2,FALSE)</f>
        <v>10.139.988.153</v>
      </c>
      <c r="C152" t="str">
        <f>VLOOKUP(A152,Tabla1[],3,FALSE)</f>
        <v>−0,41%</v>
      </c>
      <c r="D152">
        <f>VLOOKUP(A152,Tabla1[],4,FALSE)</f>
        <v>34.981000000000002</v>
      </c>
      <c r="E152">
        <f>VLOOKUP(TRIM(A152),Tabla2[],2,FALSE)</f>
        <v>540</v>
      </c>
      <c r="F152">
        <f>VLOOKUP(A152,Tabla2[],3,FALSE)</f>
        <v>1.109</v>
      </c>
      <c r="G152" t="e">
        <f>VLOOKUP(A152,Tabla4[],3,FALSE)</f>
        <v>#N/A</v>
      </c>
      <c r="H152" t="e">
        <f>VLOOKUP(A152,Tabla3[],3,FALSE)</f>
        <v>#N/A</v>
      </c>
      <c r="I152">
        <f>VLOOKUP(A152,Tabla16[],2,FALSE)</f>
        <v>11.22</v>
      </c>
      <c r="J152" t="e">
        <f>VLOOKUP(A152,Tabla17[],3,FALSE)</f>
        <v>#N/A</v>
      </c>
      <c r="K152" t="e">
        <f>VLOOKUP(A152,Tabla17[],4,FALSE)</f>
        <v>#N/A</v>
      </c>
      <c r="L152" t="e">
        <f>VLOOKUP(A152,Tabla17[],5,FALSE)</f>
        <v>#N/A</v>
      </c>
      <c r="M152" t="e">
        <f>VLOOKUP(A152,Tabla17[],6,FALSE)</f>
        <v>#N/A</v>
      </c>
      <c r="N152" t="e">
        <f>VLOOKUP(A152,Tabla17[],7,FALSE)</f>
        <v>#N/A</v>
      </c>
      <c r="O152" t="e">
        <f>VLOOKUP(A152,Tabla17[],8,FALSE)</f>
        <v>#N/A</v>
      </c>
      <c r="P152" t="e">
        <f>VLOOKUP(A152,Tabla110[],2,FALSE)</f>
        <v>#N/A</v>
      </c>
      <c r="Q152" t="e">
        <f>VLOOKUP(A152,Tabla110[],3,FALSE)</f>
        <v>#N/A</v>
      </c>
      <c r="R152" t="e">
        <f>VLOOKUP(A152,Tabla29[],2,FALSE)</f>
        <v>#N/A</v>
      </c>
      <c r="S152" t="e">
        <f>VLOOKUP(A152,Tabla29[],3,FALSE)</f>
        <v>#N/A</v>
      </c>
      <c r="T152" t="e">
        <f>VLOOKUP(A152,Tabla18[],3,FALSE)</f>
        <v>#N/A</v>
      </c>
    </row>
    <row r="153" spans="1:20" x14ac:dyDescent="0.25">
      <c r="A153" s="2" t="s">
        <v>4</v>
      </c>
      <c r="B153" t="str">
        <f>VLOOKUP(A153,Tabla1[],2,FALSE)</f>
        <v>258.832.000.000</v>
      </c>
      <c r="C153" t="str">
        <f>VLOOKUP(A153,Tabla1[],3,FALSE)</f>
        <v>0,18%</v>
      </c>
      <c r="D153">
        <f>VLOOKUP(A153,Tabla1[],4,FALSE)</f>
        <v>48.621000000000002</v>
      </c>
      <c r="E153">
        <f>VLOOKUP(TRIM(A153),Tabla2[],2,FALSE)</f>
        <v>18.504999999999999</v>
      </c>
      <c r="F153">
        <f>VLOOKUP(A153,Tabla2[],3,FALSE)</f>
        <v>19.466999999999999</v>
      </c>
      <c r="G153" t="str">
        <f>VLOOKUP(A153,Tabla4[],3,FALSE)</f>
        <v>86.813,1</v>
      </c>
      <c r="H153">
        <f>VLOOKUP(A153,Tabla3[],3,FALSE)</f>
        <v>129.81</v>
      </c>
      <c r="I153" t="str">
        <f>VLOOKUP(A153,Tabla16[],2,FALSE)</f>
        <v>3,74</v>
      </c>
      <c r="J153">
        <f>VLOOKUP(A153,Tabla17[],3,FALSE)</f>
        <v>5.7000000000000002E-2</v>
      </c>
      <c r="K153">
        <f>VLOOKUP(A153,Tabla17[],4,FALSE)</f>
        <v>0.215</v>
      </c>
      <c r="L153">
        <f>VLOOKUP(A153,Tabla17[],5,FALSE)</f>
        <v>0.72799999999999998</v>
      </c>
      <c r="M153" t="str">
        <f>VLOOKUP(A153,Tabla17[],6,FALSE)</f>
        <v>10 773</v>
      </c>
      <c r="N153" t="str">
        <f>VLOOKUP(A153,Tabla17[],7,FALSE)</f>
        <v>40 635</v>
      </c>
      <c r="O153" t="str">
        <f>VLOOKUP(A153,Tabla17[],8,FALSE)</f>
        <v>137 592</v>
      </c>
      <c r="P153" t="str">
        <f>VLOOKUP(A153,Tabla110[],2,FALSE)</f>
        <v> DÓLAR DE NUEVA ZELANDA</v>
      </c>
      <c r="Q153" t="str">
        <f>VLOOKUP(A153,Tabla110[],3,FALSE)</f>
        <v>0,5635</v>
      </c>
      <c r="R153">
        <f>VLOOKUP(A153,Tabla29[],2,FALSE)</f>
        <v>34.667000000000002</v>
      </c>
      <c r="S153">
        <f>VLOOKUP(A153,Tabla29[],3,FALSE)</f>
        <v>40</v>
      </c>
      <c r="T153">
        <f>VLOOKUP(A153,Tabla18[],3,FALSE)</f>
        <v>77.8</v>
      </c>
    </row>
    <row r="154" spans="1:20" x14ac:dyDescent="0.25">
      <c r="A154" s="1" t="s">
        <v>77</v>
      </c>
      <c r="B154" t="str">
        <f>VLOOKUP(A154,Tabla1[],2,FALSE)</f>
        <v>106.127.000.000</v>
      </c>
      <c r="C154" t="str">
        <f>VLOOKUP(A154,Tabla1[],3,FALSE)</f>
        <v>2,40%</v>
      </c>
      <c r="D154">
        <f>VLOOKUP(A154,Tabla1[],4,FALSE)</f>
        <v>19.995999999999999</v>
      </c>
      <c r="E154">
        <f>VLOOKUP(A154,Tabla2[],2,FALSE)</f>
        <v>5.7350000000000003</v>
      </c>
      <c r="F154">
        <f>VLOOKUP(A154,Tabla2[],3,FALSE)</f>
        <v>12.243</v>
      </c>
      <c r="G154" t="e">
        <f>VLOOKUP(A154,Tabla4[],3,FALSE)</f>
        <v>#N/A</v>
      </c>
      <c r="H154">
        <f>VLOOKUP(A154,Tabla3[],3,FALSE)</f>
        <v>37.979999999999997</v>
      </c>
      <c r="I154">
        <f>VLOOKUP(A154,Tabla16[],2,FALSE)</f>
        <v>1.46</v>
      </c>
      <c r="J154">
        <f>VLOOKUP(A154,Tabla17[],3,FALSE)</f>
        <v>1.7999999999999999E-2</v>
      </c>
      <c r="K154">
        <f>VLOOKUP(A154,Tabla17[],4,FALSE)</f>
        <v>0.46400000000000002</v>
      </c>
      <c r="L154">
        <f>VLOOKUP(A154,Tabla17[],5,FALSE)</f>
        <v>0.51800000000000002</v>
      </c>
      <c r="M154">
        <f>VLOOKUP(A154,Tabla17[],6,FALSE)</f>
        <v>3422</v>
      </c>
      <c r="N154" t="str">
        <f>VLOOKUP(A154,Tabla17[],7,FALSE)</f>
        <v>88 206</v>
      </c>
      <c r="O154" t="str">
        <f>VLOOKUP(A154,Tabla17[],8,FALSE)</f>
        <v>98 472</v>
      </c>
      <c r="P154" t="e">
        <f>VLOOKUP(A154,Tabla110[],2,FALSE)</f>
        <v>#N/A</v>
      </c>
      <c r="Q154" t="e">
        <f>VLOOKUP(A154,Tabla110[],3,FALSE)</f>
        <v>#N/A</v>
      </c>
      <c r="R154">
        <f>VLOOKUP(A154,Tabla29[],2,FALSE)</f>
        <v>10.263</v>
      </c>
      <c r="S154">
        <f>VLOOKUP(A154,Tabla29[],3,FALSE)</f>
        <v>45</v>
      </c>
      <c r="T154">
        <f>VLOOKUP(A154,Tabla18[],3,FALSE)</f>
        <v>68.5</v>
      </c>
    </row>
    <row r="155" spans="1:20" x14ac:dyDescent="0.25">
      <c r="A155" s="2" t="s">
        <v>52</v>
      </c>
      <c r="B155" t="str">
        <f>VLOOKUP(A155,Tabla1[],2,FALSE)</f>
        <v>1.332.240.000.000</v>
      </c>
      <c r="C155" t="str">
        <f>VLOOKUP(A155,Tabla1[],3,FALSE)</f>
        <v>1,86%</v>
      </c>
      <c r="D155">
        <f>VLOOKUP(A155,Tabla1[],4,FALSE)</f>
        <v>73.832999999999998</v>
      </c>
      <c r="E155">
        <f>VLOOKUP(A155,Tabla2[],2,FALSE)</f>
        <v>309.26799999999997</v>
      </c>
      <c r="F155">
        <f>VLOOKUP(A155,Tabla2[],3,FALSE)</f>
        <v>268.04199999999997</v>
      </c>
      <c r="G155" t="str">
        <f>VLOOKUP(A155,Tabla4[],3,FALSE)</f>
        <v>468.248,4</v>
      </c>
      <c r="H155">
        <f>VLOOKUP(A155,Tabla3[],3,FALSE)</f>
        <v>531.92200000000003</v>
      </c>
      <c r="I155" t="str">
        <f>VLOOKUP(A155,Tabla16[],2,FALSE)</f>
        <v>3,56</v>
      </c>
      <c r="J155" t="e">
        <f>VLOOKUP(A155,Tabla17[],3,FALSE)</f>
        <v>#N/A</v>
      </c>
      <c r="K155" t="e">
        <f>VLOOKUP(A155,Tabla17[],4,FALSE)</f>
        <v>#N/A</v>
      </c>
      <c r="L155" t="e">
        <f>VLOOKUP(A155,Tabla17[],5,FALSE)</f>
        <v>#N/A</v>
      </c>
      <c r="M155" t="e">
        <f>VLOOKUP(A155,Tabla17[],6,FALSE)</f>
        <v>#N/A</v>
      </c>
      <c r="N155" t="e">
        <f>VLOOKUP(A155,Tabla17[],7,FALSE)</f>
        <v>#N/A</v>
      </c>
      <c r="O155" t="e">
        <f>VLOOKUP(A155,Tabla17[],8,FALSE)</f>
        <v>#N/A</v>
      </c>
      <c r="P155" t="e">
        <f>VLOOKUP(A155,Tabla110[],2,FALSE)</f>
        <v>#N/A</v>
      </c>
      <c r="Q155" t="e">
        <f>VLOOKUP(A155,Tabla110[],3,FALSE)</f>
        <v>#N/A</v>
      </c>
      <c r="R155">
        <f>VLOOKUP(A155,Tabla29[],2,FALSE)</f>
        <v>36.186999999999998</v>
      </c>
      <c r="S155">
        <f>VLOOKUP(A155,Tabla29[],3,FALSE)</f>
        <v>40</v>
      </c>
      <c r="T155" t="e">
        <f>VLOOKUP(A155,Tabla18[],3,FALSE)</f>
        <v>#N/A</v>
      </c>
    </row>
    <row r="156" spans="1:20" x14ac:dyDescent="0.25">
      <c r="A156" s="2" t="s">
        <v>112</v>
      </c>
      <c r="B156" t="str">
        <f>VLOOKUP(A156,Tabla1[],2,FALSE)</f>
        <v>407.786.000.000</v>
      </c>
      <c r="C156" t="str">
        <f>VLOOKUP(A156,Tabla1[],3,FALSE)</f>
        <v>3,09%</v>
      </c>
      <c r="D156">
        <f>VLOOKUP(A156,Tabla1[],4,FALSE)</f>
        <v>1.696</v>
      </c>
      <c r="E156">
        <f>VLOOKUP(A156,Tabla2[],2,FALSE)</f>
        <v>8.0969999999999995</v>
      </c>
      <c r="F156">
        <f>VLOOKUP(A156,Tabla2[],3,FALSE)</f>
        <v>11.167999999999999</v>
      </c>
      <c r="G156" t="str">
        <f>VLOOKUP(A156,Tabla4[],3,FALSE)</f>
        <v>44.825,1</v>
      </c>
      <c r="H156">
        <f>VLOOKUP(A156,Tabla3[],3,FALSE)</f>
        <v>261.42399999999998</v>
      </c>
      <c r="I156" t="str">
        <f>VLOOKUP(A156,Tabla16[],2,FALSE)</f>
        <v>5,50</v>
      </c>
      <c r="J156">
        <f>VLOOKUP(A156,Tabla17[],3,FALSE)</f>
        <v>0.24399999999999999</v>
      </c>
      <c r="K156">
        <f>VLOOKUP(A156,Tabla17[],4,FALSE)</f>
        <v>0.191</v>
      </c>
      <c r="L156">
        <f>VLOOKUP(A156,Tabla17[],5,FALSE)</f>
        <v>0.56499999999999995</v>
      </c>
      <c r="M156" t="str">
        <f>VLOOKUP(A156,Tabla17[],6,FALSE)</f>
        <v>258 884</v>
      </c>
      <c r="N156" t="str">
        <f>VLOOKUP(A156,Tabla17[],7,FALSE)</f>
        <v>202 651</v>
      </c>
      <c r="O156" t="str">
        <f>VLOOKUP(A156,Tabla17[],8,FALSE)</f>
        <v>599 465</v>
      </c>
      <c r="P156" t="e">
        <f>VLOOKUP(A156,Tabla110[],2,FALSE)</f>
        <v>#N/A</v>
      </c>
      <c r="Q156" t="e">
        <f>VLOOKUP(A156,Tabla110[],3,FALSE)</f>
        <v>#N/A</v>
      </c>
      <c r="R156">
        <f>VLOOKUP(A156,Tabla29[],2,FALSE)</f>
        <v>1.2889999999999999</v>
      </c>
      <c r="S156">
        <f>VLOOKUP(A156,Tabla29[],3,FALSE)</f>
        <v>48</v>
      </c>
      <c r="T156">
        <f>VLOOKUP(A156,Tabla18[],3,FALSE)</f>
        <v>48.9</v>
      </c>
    </row>
    <row r="157" spans="1:20" x14ac:dyDescent="0.25">
      <c r="A157" s="1" t="s">
        <v>197</v>
      </c>
      <c r="B157" t="str">
        <f>VLOOKUP(A157,Tabla1[],2,FALSE)</f>
        <v>345.000.000</v>
      </c>
      <c r="C157" t="str">
        <f>VLOOKUP(A157,Tabla1[],3,FALSE)</f>
        <v>6,32%</v>
      </c>
      <c r="D157">
        <f>VLOOKUP(A157,Tabla1[],4,FALSE)</f>
        <v>19.684999999999999</v>
      </c>
      <c r="E157" t="e">
        <f>VLOOKUP(A157,Tabla2[],2,FALSE)</f>
        <v>#N/A</v>
      </c>
      <c r="F157" t="e">
        <f>VLOOKUP(A157,Tabla2[],3,FALSE)</f>
        <v>#N/A</v>
      </c>
      <c r="G157" t="e">
        <f>VLOOKUP(A157,Tabla4[],3,FALSE)</f>
        <v>#N/A</v>
      </c>
      <c r="H157">
        <f>VLOOKUP(A157,Tabla3[],3,FALSE)</f>
        <v>211</v>
      </c>
      <c r="I157" t="e">
        <f>VLOOKUP(A157,Tabla16[],2,FALSE)</f>
        <v>#N/A</v>
      </c>
      <c r="J157">
        <f>VLOOKUP(A157,Tabla17[],3,FALSE)</f>
        <v>0.03</v>
      </c>
      <c r="K157">
        <f>VLOOKUP(A157,Tabla17[],4,FALSE)</f>
        <v>0.19</v>
      </c>
      <c r="L157">
        <f>VLOOKUP(A157,Tabla17[],5,FALSE)</f>
        <v>0.78</v>
      </c>
      <c r="M157">
        <f>VLOOKUP(A157,Tabla17[],6,FALSE)</f>
        <v>8</v>
      </c>
      <c r="N157">
        <f>VLOOKUP(A157,Tabla17[],7,FALSE)</f>
        <v>50</v>
      </c>
      <c r="O157">
        <f>VLOOKUP(A157,Tabla17[],8,FALSE)</f>
        <v>206</v>
      </c>
      <c r="P157" t="e">
        <f>VLOOKUP(A157,Tabla110[],2,FALSE)</f>
        <v>#N/A</v>
      </c>
      <c r="Q157" t="e">
        <f>VLOOKUP(A157,Tabla110[],3,FALSE)</f>
        <v>#N/A</v>
      </c>
      <c r="R157" t="e">
        <f>VLOOKUP(A157,Tabla29[],2,FALSE)</f>
        <v>#N/A</v>
      </c>
      <c r="S157" t="e">
        <f>VLOOKUP(A157,Tabla29[],3,FALSE)</f>
        <v>#N/A</v>
      </c>
      <c r="T157" t="e">
        <f>VLOOKUP(A157,Tabla18[],3,FALSE)</f>
        <v>#N/A</v>
      </c>
    </row>
    <row r="158" spans="1:20" x14ac:dyDescent="0.25">
      <c r="A158" s="2" t="s">
        <v>150</v>
      </c>
      <c r="B158" t="str">
        <f>VLOOKUP(A158,Tabla1[],2,FALSE)</f>
        <v>90.463.000.000</v>
      </c>
      <c r="C158" t="str">
        <f>VLOOKUP(A158,Tabla1[],3,FALSE)</f>
        <v>4,35%</v>
      </c>
      <c r="D158">
        <f>VLOOKUP(A158,Tabla1[],4,FALSE)</f>
        <v>19.814</v>
      </c>
      <c r="E158">
        <f>VLOOKUP(A158,Tabla2[],2,FALSE)</f>
        <v>18.266999999999999</v>
      </c>
      <c r="F158">
        <f>VLOOKUP(A158,Tabla2[],3,FALSE)</f>
        <v>5.7460000000000004</v>
      </c>
      <c r="G158" t="str">
        <f>VLOOKUP(A158,Tabla4[],3,FALSE)</f>
        <v>9.960,2</v>
      </c>
      <c r="H158">
        <f>VLOOKUP(A158,Tabla3[],3,FALSE)</f>
        <v>49.648000000000003</v>
      </c>
      <c r="I158" t="str">
        <f>VLOOKUP(A158,Tabla16[],2,FALSE)</f>
        <v>6,70</v>
      </c>
      <c r="J158">
        <f>VLOOKUP(A158,Tabla17[],3,FALSE)</f>
        <v>2.4E-2</v>
      </c>
      <c r="K158">
        <f>VLOOKUP(A158,Tabla17[],4,FALSE)</f>
        <v>0.157</v>
      </c>
      <c r="L158">
        <f>VLOOKUP(A158,Tabla17[],5,FALSE)</f>
        <v>0.82</v>
      </c>
      <c r="M158">
        <f>VLOOKUP(A158,Tabla17[],6,FALSE)</f>
        <v>2498</v>
      </c>
      <c r="N158" t="str">
        <f>VLOOKUP(A158,Tabla17[],7,FALSE)</f>
        <v>16 344</v>
      </c>
      <c r="O158" t="str">
        <f>VLOOKUP(A158,Tabla17[],8,FALSE)</f>
        <v>85 362</v>
      </c>
      <c r="P158" t="e">
        <f>VLOOKUP(A158,Tabla110[],2,FALSE)</f>
        <v>#N/A</v>
      </c>
      <c r="Q158" t="e">
        <f>VLOOKUP(A158,Tabla110[],3,FALSE)</f>
        <v>#N/A</v>
      </c>
      <c r="R158">
        <f>VLOOKUP(A158,Tabla29[],2,FALSE)</f>
        <v>3.819</v>
      </c>
      <c r="S158">
        <f>VLOOKUP(A158,Tabla29[],3,FALSE)</f>
        <v>48</v>
      </c>
      <c r="T158">
        <f>VLOOKUP(A158,Tabla18[],3,FALSE)</f>
        <v>64.900000000000006</v>
      </c>
    </row>
    <row r="159" spans="1:20" x14ac:dyDescent="0.25">
      <c r="A159" s="2" t="s">
        <v>188</v>
      </c>
      <c r="B159" t="str">
        <f>VLOOKUP(A159,Tabla1[],2,FALSE)</f>
        <v>32.491.000.000</v>
      </c>
      <c r="C159" t="str">
        <f>VLOOKUP(A159,Tabla1[],3,FALSE)</f>
        <v>5,64%</v>
      </c>
      <c r="D159">
        <f>VLOOKUP(A159,Tabla1[],4,FALSE)</f>
        <v>2.5379999999999998</v>
      </c>
      <c r="E159">
        <f>VLOOKUP(A159,Tabla2[],2,FALSE)</f>
        <v>307</v>
      </c>
      <c r="F159">
        <f>VLOOKUP(A159,Tabla2[],3,FALSE)</f>
        <v>2.17</v>
      </c>
      <c r="G159" t="str">
        <f>VLOOKUP(A159,Tabla4[],3,FALSE)</f>
        <v>4.896,6</v>
      </c>
      <c r="H159">
        <f>VLOOKUP(A159,Tabla3[],3,FALSE)</f>
        <v>15.253</v>
      </c>
      <c r="I159" t="str">
        <f>VLOOKUP(A159,Tabla16[],2,FALSE)</f>
        <v>2,65</v>
      </c>
      <c r="J159">
        <f>VLOOKUP(A159,Tabla17[],3,FALSE)</f>
        <v>0.221</v>
      </c>
      <c r="K159">
        <f>VLOOKUP(A159,Tabla17[],4,FALSE)</f>
        <v>0.42899999999999999</v>
      </c>
      <c r="L159">
        <f>VLOOKUP(A159,Tabla17[],5,FALSE)</f>
        <v>0.35</v>
      </c>
      <c r="M159">
        <f>VLOOKUP(A159,Tabla17[],6,FALSE)</f>
        <v>6672</v>
      </c>
      <c r="N159" t="str">
        <f>VLOOKUP(A159,Tabla17[],7,FALSE)</f>
        <v>12 952</v>
      </c>
      <c r="O159" t="str">
        <f>VLOOKUP(A159,Tabla17[],8,FALSE)</f>
        <v>10 567</v>
      </c>
      <c r="P159" t="e">
        <f>VLOOKUP(A159,Tabla110[],2,FALSE)</f>
        <v>#N/A</v>
      </c>
      <c r="Q159" t="e">
        <f>VLOOKUP(A159,Tabla110[],3,FALSE)</f>
        <v>#N/A</v>
      </c>
      <c r="R159">
        <f>VLOOKUP(A159,Tabla29[],2,FALSE)</f>
        <v>2.0859999999999999</v>
      </c>
      <c r="S159">
        <f>VLOOKUP(A159,Tabla29[],3,FALSE)</f>
        <v>44</v>
      </c>
      <c r="T159">
        <f>VLOOKUP(A159,Tabla18[],3,FALSE)</f>
        <v>54.3</v>
      </c>
    </row>
    <row r="160" spans="1:20" x14ac:dyDescent="0.25">
      <c r="A160" s="1" t="s">
        <v>195</v>
      </c>
      <c r="B160" t="str">
        <f>VLOOKUP(A160,Tabla1[],2,FALSE)</f>
        <v>49.358.000.000</v>
      </c>
      <c r="C160" t="str">
        <f>VLOOKUP(A160,Tabla1[],3,FALSE)</f>
        <v>6,00%</v>
      </c>
      <c r="D160">
        <f>VLOOKUP(A160,Tabla1[],4,FALSE)</f>
        <v>7.6920000000000002</v>
      </c>
      <c r="E160">
        <f>VLOOKUP(A160,Tabla2[],2,FALSE)</f>
        <v>2.4550000000000001</v>
      </c>
      <c r="F160">
        <f>VLOOKUP(A160,Tabla2[],3,FALSE)</f>
        <v>2.4750000000000001</v>
      </c>
      <c r="G160" t="str">
        <f>VLOOKUP(A160,Tabla4[],3,FALSE)</f>
        <v>6.237,7</v>
      </c>
      <c r="H160">
        <f>VLOOKUP(A160,Tabla3[],3,FALSE)</f>
        <v>19.902999999999999</v>
      </c>
      <c r="I160" t="str">
        <f>VLOOKUP(A160,Tabla16[],2,FALSE)</f>
        <v>5,78</v>
      </c>
      <c r="J160">
        <f>VLOOKUP(A160,Tabla17[],3,FALSE)</f>
        <v>0.17899999999999999</v>
      </c>
      <c r="K160">
        <f>VLOOKUP(A160,Tabla17[],4,FALSE)</f>
        <v>0.27700000000000002</v>
      </c>
      <c r="L160">
        <f>VLOOKUP(A160,Tabla17[],5,FALSE)</f>
        <v>0.54500000000000004</v>
      </c>
      <c r="M160" t="str">
        <f>VLOOKUP(A160,Tabla17[],6,FALSE)</f>
        <v>15 915</v>
      </c>
      <c r="N160" t="str">
        <f>VLOOKUP(A160,Tabla17[],7,FALSE)</f>
        <v>24 628</v>
      </c>
      <c r="O160" t="str">
        <f>VLOOKUP(A160,Tabla17[],8,FALSE)</f>
        <v>48 456</v>
      </c>
      <c r="P160" t="str">
        <f>VLOOKUP(A160,Tabla110[],2,FALSE)</f>
        <v> GUARANÍ</v>
      </c>
      <c r="Q160" t="str">
        <f>VLOOKUP(A160,Tabla110[],3,FALSE)</f>
        <v>7794,56</v>
      </c>
      <c r="R160">
        <f>VLOOKUP(A160,Tabla29[],2,FALSE)</f>
        <v>4.9569999999999999</v>
      </c>
      <c r="S160">
        <f>VLOOKUP(A160,Tabla29[],3,FALSE)</f>
        <v>48</v>
      </c>
      <c r="T160">
        <f>VLOOKUP(A160,Tabla18[],3,FALSE)</f>
        <v>66.400000000000006</v>
      </c>
    </row>
    <row r="161" spans="1:20" x14ac:dyDescent="0.25">
      <c r="A161" s="1" t="s">
        <v>121</v>
      </c>
      <c r="B161" t="str">
        <f>VLOOKUP(A161,Tabla1[],2,FALSE)</f>
        <v>341.025.000.000</v>
      </c>
      <c r="C161" t="str">
        <f>VLOOKUP(A161,Tabla1[],3,FALSE)</f>
        <v>3,44%</v>
      </c>
      <c r="D161">
        <f>VLOOKUP(A161,Tabla1[],4,FALSE)</f>
        <v>9.9109999999999996</v>
      </c>
      <c r="E161">
        <f>VLOOKUP(A161,Tabla2[],2,FALSE)</f>
        <v>7.1529999999999996</v>
      </c>
      <c r="F161">
        <f>VLOOKUP(A161,Tabla2[],3,FALSE)</f>
        <v>15.069000000000001</v>
      </c>
      <c r="G161" t="str">
        <f>VLOOKUP(A161,Tabla4[],3,FALSE)</f>
        <v>45.308,8</v>
      </c>
      <c r="H161">
        <f>VLOOKUP(A161,Tabla3[],3,FALSE)</f>
        <v>94.74</v>
      </c>
      <c r="I161">
        <f>VLOOKUP(A161,Tabla16[],2,FALSE)</f>
        <v>4.82</v>
      </c>
      <c r="J161">
        <f>VLOOKUP(A161,Tabla17[],3,FALSE)</f>
        <v>7.5999999999999998E-2</v>
      </c>
      <c r="K161">
        <f>VLOOKUP(A161,Tabla17[],4,FALSE)</f>
        <v>0.32700000000000001</v>
      </c>
      <c r="L161">
        <f>VLOOKUP(A161,Tabla17[],5,FALSE)</f>
        <v>0.59899999999999998</v>
      </c>
      <c r="M161" t="str">
        <f>VLOOKUP(A161,Tabla17[],6,FALSE)</f>
        <v>32 703</v>
      </c>
      <c r="N161" t="str">
        <f>VLOOKUP(A161,Tabla17[],7,FALSE)</f>
        <v>140 708</v>
      </c>
      <c r="O161" t="str">
        <f>VLOOKUP(A161,Tabla17[],8,FALSE)</f>
        <v>257 750</v>
      </c>
      <c r="P161" t="str">
        <f>VLOOKUP(A161,Tabla110[],2,FALSE)</f>
        <v> NUEVO SOL PERUANO</v>
      </c>
      <c r="Q161">
        <f>VLOOKUP(A161,Tabla110[],3,FALSE)</f>
        <v>3732</v>
      </c>
      <c r="R161">
        <f>VLOOKUP(A161,Tabla29[],2,FALSE)</f>
        <v>3.4950000000000001</v>
      </c>
      <c r="S161">
        <f>VLOOKUP(A161,Tabla29[],3,FALSE)</f>
        <v>48</v>
      </c>
      <c r="T161">
        <f>VLOOKUP(A161,Tabla18[],3,FALSE)</f>
        <v>66.3</v>
      </c>
    </row>
    <row r="162" spans="1:20" x14ac:dyDescent="0.25">
      <c r="A162" s="2" t="s">
        <v>106</v>
      </c>
      <c r="B162" t="str">
        <f>VLOOKUP(A162,Tabla1[],2,FALSE)</f>
        <v>6.402.221.222</v>
      </c>
      <c r="C162" t="str">
        <f>VLOOKUP(A162,Tabla1[],3,FALSE)</f>
        <v>3,00%</v>
      </c>
      <c r="D162">
        <f>VLOOKUP(A162,Tabla1[],4,FALSE)</f>
        <v>22.774000000000001</v>
      </c>
      <c r="E162">
        <f>VLOOKUP(A162,Tabla2[],2,FALSE)</f>
        <v>1.024</v>
      </c>
      <c r="F162">
        <f>VLOOKUP(A162,Tabla2[],3,FALSE)</f>
        <v>384</v>
      </c>
      <c r="G162" t="e">
        <f>VLOOKUP(A162,Tabla4[],3,FALSE)</f>
        <v>#N/A</v>
      </c>
      <c r="H162" t="e">
        <f>VLOOKUP(A162,Tabla3[],3,FALSE)</f>
        <v>#N/A</v>
      </c>
      <c r="I162" t="str">
        <f>VLOOKUP(A162,Tabla16[],2,FALSE)</f>
        <v>11,72</v>
      </c>
      <c r="J162" t="e">
        <f>VLOOKUP(A162,Tabla17[],3,FALSE)</f>
        <v>#N/A</v>
      </c>
      <c r="K162" t="e">
        <f>VLOOKUP(A162,Tabla17[],4,FALSE)</f>
        <v>#N/A</v>
      </c>
      <c r="L162" t="e">
        <f>VLOOKUP(A162,Tabla17[],5,FALSE)</f>
        <v>#N/A</v>
      </c>
      <c r="M162" t="e">
        <f>VLOOKUP(A162,Tabla17[],6,FALSE)</f>
        <v>#N/A</v>
      </c>
      <c r="N162" t="e">
        <f>VLOOKUP(A162,Tabla17[],7,FALSE)</f>
        <v>#N/A</v>
      </c>
      <c r="O162" t="e">
        <f>VLOOKUP(A162,Tabla17[],8,FALSE)</f>
        <v>#N/A</v>
      </c>
      <c r="P162" t="e">
        <f>VLOOKUP(A162,Tabla110[],2,FALSE)</f>
        <v>#N/A</v>
      </c>
      <c r="Q162" t="e">
        <f>VLOOKUP(A162,Tabla110[],3,FALSE)</f>
        <v>#N/A</v>
      </c>
      <c r="R162" t="e">
        <f>VLOOKUP(A162,Tabla29[],2,FALSE)</f>
        <v>#N/A</v>
      </c>
      <c r="S162" t="e">
        <f>VLOOKUP(A162,Tabla29[],3,FALSE)</f>
        <v>#N/A</v>
      </c>
      <c r="T162" t="e">
        <f>VLOOKUP(A162,Tabla18[],3,FALSE)</f>
        <v>#N/A</v>
      </c>
    </row>
    <row r="163" spans="1:20" x14ac:dyDescent="0.25">
      <c r="A163" s="1" t="s">
        <v>127</v>
      </c>
      <c r="B163" t="str">
        <f>VLOOKUP(A163,Tabla1[],2,FALSE)</f>
        <v>1.035.586.000.000</v>
      </c>
      <c r="C163" t="str">
        <f>VLOOKUP(A163,Tabla1[],3,FALSE)</f>
        <v>3,57%</v>
      </c>
      <c r="D163">
        <f>VLOOKUP(A163,Tabla1[],4,FALSE)</f>
        <v>28.373999999999999</v>
      </c>
      <c r="E163">
        <f>VLOOKUP(A163,Tabla2[],2,FALSE)</f>
        <v>118.714</v>
      </c>
      <c r="F163">
        <f>VLOOKUP(A163,Tabla2[],3,FALSE)</f>
        <v>75.176000000000002</v>
      </c>
      <c r="G163" t="str">
        <f>VLOOKUP(A163,Tabla4[],3,FALSE)</f>
        <v>335.165,7</v>
      </c>
      <c r="H163">
        <f>VLOOKUP(A163,Tabla3[],3,FALSE)</f>
        <v>505.42899999999997</v>
      </c>
      <c r="I163" t="str">
        <f>VLOOKUP(A163,Tabla16[],2,FALSE)</f>
        <v>2,91</v>
      </c>
      <c r="J163">
        <f>VLOOKUP(A163,Tabla17[],3,FALSE)</f>
        <v>2.4E-2</v>
      </c>
      <c r="K163">
        <f>VLOOKUP(A163,Tabla17[],4,FALSE)</f>
        <v>0.40200000000000002</v>
      </c>
      <c r="L163">
        <f>VLOOKUP(A163,Tabla17[],5,FALSE)</f>
        <v>0.57399999999999995</v>
      </c>
      <c r="M163" t="str">
        <f>VLOOKUP(A163,Tabla17[],6,FALSE)</f>
        <v>27 024</v>
      </c>
      <c r="N163" t="str">
        <f>VLOOKUP(A163,Tabla17[],7,FALSE)</f>
        <v>452 652</v>
      </c>
      <c r="O163" t="str">
        <f>VLOOKUP(A163,Tabla17[],8,FALSE)</f>
        <v>646 324</v>
      </c>
      <c r="P163" t="str">
        <f>VLOOKUP(A163,Tabla110[],2,FALSE)</f>
        <v> ZLOTY POLACO</v>
      </c>
      <c r="Q163">
        <f>VLOOKUP(A163,Tabla110[],3,FALSE)</f>
        <v>41006</v>
      </c>
      <c r="R163">
        <f>VLOOKUP(A163,Tabla29[],2,FALSE)</f>
        <v>14.506</v>
      </c>
      <c r="S163">
        <f>VLOOKUP(A163,Tabla29[],3,FALSE)</f>
        <v>40</v>
      </c>
      <c r="T163">
        <f>VLOOKUP(A163,Tabla18[],3,FALSE)</f>
        <v>68.5</v>
      </c>
    </row>
    <row r="164" spans="1:20" x14ac:dyDescent="0.25">
      <c r="A164" s="1" t="s">
        <v>53</v>
      </c>
      <c r="B164" t="str">
        <f>VLOOKUP(A164,Tabla1[],2,FALSE)</f>
        <v>346.412.000.000</v>
      </c>
      <c r="C164" t="str">
        <f>VLOOKUP(A164,Tabla1[],3,FALSE)</f>
        <v>1,86%</v>
      </c>
      <c r="D164">
        <f>VLOOKUP(A164,Tabla1[],4,FALSE)</f>
        <v>32.165999999999997</v>
      </c>
      <c r="E164">
        <f>VLOOKUP(A164,Tabla2[],2,FALSE)</f>
        <v>62.298999999999999</v>
      </c>
      <c r="F164">
        <f>VLOOKUP(A164,Tabla2[],3,FALSE)</f>
        <v>27.707000000000001</v>
      </c>
      <c r="G164" t="str">
        <f>VLOOKUP(A164,Tabla4[],3,FALSE)</f>
        <v>110.066,6</v>
      </c>
      <c r="H164">
        <f>VLOOKUP(A164,Tabla3[],3,FALSE)</f>
        <v>292.93700000000001</v>
      </c>
      <c r="I164">
        <f>VLOOKUP(A164,Tabla16[],2,FALSE)</f>
        <v>6.49</v>
      </c>
      <c r="J164">
        <f>VLOOKUP(A164,Tabla17[],3,FALSE)</f>
        <v>2.1999999999999999E-2</v>
      </c>
      <c r="K164">
        <f>VLOOKUP(A164,Tabla17[],4,FALSE)</f>
        <v>0.221</v>
      </c>
      <c r="L164">
        <f>VLOOKUP(A164,Tabla17[],5,FALSE)</f>
        <v>0.75700000000000001</v>
      </c>
      <c r="M164">
        <f>VLOOKUP(A164,Tabla17[],6,FALSE)</f>
        <v>6910</v>
      </c>
      <c r="N164" t="str">
        <f>VLOOKUP(A164,Tabla17[],7,FALSE)</f>
        <v>69 416</v>
      </c>
      <c r="O164" t="str">
        <f>VLOOKUP(A164,Tabla17[],8,FALSE)</f>
        <v>237 774</v>
      </c>
      <c r="P164" t="e">
        <f>VLOOKUP(A164,Tabla110[],2,FALSE)</f>
        <v>#N/A</v>
      </c>
      <c r="Q164" t="e">
        <f>VLOOKUP(A164,Tabla110[],3,FALSE)</f>
        <v>#N/A</v>
      </c>
      <c r="R164">
        <f>VLOOKUP(A164,Tabla29[],2,FALSE)</f>
        <v>11.638</v>
      </c>
      <c r="S164">
        <f>VLOOKUP(A164,Tabla29[],3,FALSE)</f>
        <v>40</v>
      </c>
      <c r="T164">
        <f>VLOOKUP(A164,Tabla18[],3,FALSE)</f>
        <v>71.2</v>
      </c>
    </row>
    <row r="165" spans="1:20" x14ac:dyDescent="0.25">
      <c r="A165" s="1" t="s">
        <v>19</v>
      </c>
      <c r="B165" t="str">
        <f>VLOOKUP(A165,Tabla1[],2,FALSE)</f>
        <v>126.525.000.000</v>
      </c>
      <c r="C165" t="str">
        <f>VLOOKUP(A165,Tabla1[],3,FALSE)</f>
        <v>−0,80%</v>
      </c>
      <c r="D165">
        <f>VLOOKUP(A165,Tabla1[],4,FALSE)</f>
        <v>39.847000000000001</v>
      </c>
      <c r="E165" t="e">
        <f>VLOOKUP(TRIM(A165),Tabla2[],2,FALSE)</f>
        <v>#N/A</v>
      </c>
      <c r="F165" t="e">
        <f>VLOOKUP(A165,Tabla2[],3,FALSE)</f>
        <v>#N/A</v>
      </c>
      <c r="G165" t="e">
        <f>VLOOKUP(A165,Tabla4[],3,FALSE)</f>
        <v>#N/A</v>
      </c>
      <c r="H165" t="e">
        <f>VLOOKUP(A165,Tabla3[],3,FALSE)</f>
        <v>#N/A</v>
      </c>
      <c r="I165" t="str">
        <f>VLOOKUP(A165,Tabla16[],2,FALSE)</f>
        <v>5,96</v>
      </c>
      <c r="J165">
        <f>VLOOKUP(A165,Tabla17[],3,FALSE)</f>
        <v>8.0000000000000002E-3</v>
      </c>
      <c r="K165">
        <f>VLOOKUP(A165,Tabla17[],4,FALSE)</f>
        <v>0.501</v>
      </c>
      <c r="L165">
        <f>VLOOKUP(A165,Tabla17[],5,FALSE)</f>
        <v>0.49099999999999999</v>
      </c>
      <c r="M165">
        <f>VLOOKUP(A165,Tabla17[],6,FALSE)</f>
        <v>1040</v>
      </c>
      <c r="N165" t="str">
        <f>VLOOKUP(A165,Tabla17[],7,FALSE)</f>
        <v>65 130</v>
      </c>
      <c r="O165" t="str">
        <f>VLOOKUP(A165,Tabla17[],8,FALSE)</f>
        <v>63 830</v>
      </c>
      <c r="P165" t="e">
        <f>VLOOKUP(A165,Tabla110[],2,FALSE)</f>
        <v>#N/A</v>
      </c>
      <c r="Q165" t="e">
        <f>VLOOKUP(A165,Tabla110[],3,FALSE)</f>
        <v>#N/A</v>
      </c>
      <c r="R165" t="e">
        <f>VLOOKUP(A165,Tabla29[],2,FALSE)</f>
        <v>#N/A</v>
      </c>
      <c r="S165" t="e">
        <f>VLOOKUP(A165,Tabla29[],3,FALSE)</f>
        <v>#N/A</v>
      </c>
      <c r="T165" t="e">
        <f>VLOOKUP(A165,Tabla18[],3,FALSE)</f>
        <v>#N/A</v>
      </c>
    </row>
    <row r="166" spans="1:20" x14ac:dyDescent="0.25">
      <c r="A166" s="1" t="s">
        <v>189</v>
      </c>
      <c r="B166" t="str">
        <f>VLOOKUP(A166,Tabla1[],2,FALSE)</f>
        <v>92.833.000.000</v>
      </c>
      <c r="C166" t="str">
        <f>VLOOKUP(A166,Tabla1[],3,FALSE)</f>
        <v>5,75%</v>
      </c>
      <c r="D166">
        <f>VLOOKUP(A166,Tabla1[],4,FALSE)</f>
        <v>871</v>
      </c>
      <c r="E166" t="e">
        <f>VLOOKUP(A166,Tabla2[],2,FALSE)</f>
        <v>#N/A</v>
      </c>
      <c r="F166" t="e">
        <f>VLOOKUP(A166,Tabla2[],3,FALSE)</f>
        <v>#N/A</v>
      </c>
      <c r="G166" t="e">
        <f>VLOOKUP(A166,Tabla4[],3,FALSE)</f>
        <v>#N/A</v>
      </c>
      <c r="H166" t="e">
        <f>VLOOKUP(A166,Tabla3[],3,FALSE)</f>
        <v>#N/A</v>
      </c>
      <c r="I166" t="e">
        <f>VLOOKUP(A166,Tabla16[],2,FALSE)</f>
        <v>#N/A</v>
      </c>
      <c r="J166" t="e">
        <f>VLOOKUP(A166,Tabla17[],3,FALSE)</f>
        <v>#N/A</v>
      </c>
      <c r="K166" t="e">
        <f>VLOOKUP(A166,Tabla17[],4,FALSE)</f>
        <v>#N/A</v>
      </c>
      <c r="L166" t="e">
        <f>VLOOKUP(A166,Tabla17[],5,FALSE)</f>
        <v>#N/A</v>
      </c>
      <c r="M166" t="e">
        <f>VLOOKUP(A166,Tabla17[],6,FALSE)</f>
        <v>#N/A</v>
      </c>
      <c r="N166" t="e">
        <f>VLOOKUP(A166,Tabla17[],7,FALSE)</f>
        <v>#N/A</v>
      </c>
      <c r="O166" t="e">
        <f>VLOOKUP(A166,Tabla17[],8,FALSE)</f>
        <v>#N/A</v>
      </c>
      <c r="P166" t="e">
        <f>VLOOKUP(A166,Tabla110[],2,FALSE)</f>
        <v>#N/A</v>
      </c>
      <c r="Q166" t="e">
        <f>VLOOKUP(A166,Tabla110[],3,FALSE)</f>
        <v>#N/A</v>
      </c>
      <c r="R166" t="e">
        <f>VLOOKUP(A166,Tabla29[],2,FALSE)</f>
        <v>#N/A</v>
      </c>
      <c r="S166" t="e">
        <f>VLOOKUP(A166,Tabla29[],3,FALSE)</f>
        <v>#N/A</v>
      </c>
      <c r="T166" t="e">
        <f>VLOOKUP(A166,Tabla18[],3,FALSE)</f>
        <v>#N/A</v>
      </c>
    </row>
    <row r="167" spans="1:20" x14ac:dyDescent="0.25">
      <c r="A167" s="2" t="s">
        <v>38</v>
      </c>
      <c r="B167" t="str">
        <f>VLOOKUP(A167,Tabla1[],2,FALSE)</f>
        <v>4.003.022.000.000</v>
      </c>
      <c r="C167" t="str">
        <f>VLOOKUP(A167,Tabla1[],3,FALSE)</f>
        <v>1,32%</v>
      </c>
      <c r="D167">
        <f>VLOOKUP(A167,Tabla1[],4,FALSE)</f>
        <v>57.607999999999997</v>
      </c>
      <c r="E167">
        <f>VLOOKUP(A167,Tabla2[],2,FALSE)</f>
        <v>649.27800000000002</v>
      </c>
      <c r="F167">
        <f>VLOOKUP(A167,Tabla2[],3,FALSE)</f>
        <v>401.774</v>
      </c>
      <c r="G167" t="str">
        <f>VLOOKUP(A167,Tabla4[],3,FALSE)</f>
        <v>1.252.268,8</v>
      </c>
      <c r="H167" t="str">
        <f>VLOOKUP(A167,Tabla3[],3,FALSE)</f>
        <v>3.689.354</v>
      </c>
      <c r="I167">
        <f>VLOOKUP(A167,Tabla16[],2,FALSE)</f>
        <v>4.0599999999999996</v>
      </c>
      <c r="J167">
        <f>VLOOKUP(A167,Tabla17[],3,FALSE)</f>
        <v>7.0000000000000001E-3</v>
      </c>
      <c r="K167">
        <f>VLOOKUP(A167,Tabla17[],4,FALSE)</f>
        <v>0.20200000000000001</v>
      </c>
      <c r="L167">
        <f>VLOOKUP(A167,Tabla17[],5,FALSE)</f>
        <v>0.79200000000000004</v>
      </c>
      <c r="M167" t="str">
        <f>VLOOKUP(A167,Tabla17[],6,FALSE)</f>
        <v>20 475</v>
      </c>
      <c r="N167" t="str">
        <f>VLOOKUP(A167,Tabla17[],7,FALSE)</f>
        <v>590 850</v>
      </c>
      <c r="O167" t="str">
        <f>VLOOKUP(A167,Tabla17[],8,FALSE)</f>
        <v>2 316 600</v>
      </c>
      <c r="P167" t="str">
        <f>VLOOKUP(A167,Tabla110[],2,FALSE)</f>
        <v> LIBRA BRITÁNICA</v>
      </c>
      <c r="Q167">
        <f>VLOOKUP(A167,Tabla110[],3,FALSE)</f>
        <v>12521</v>
      </c>
      <c r="R167">
        <f>VLOOKUP(A167,Tabla29[],2,FALSE)</f>
        <v>34.79</v>
      </c>
      <c r="S167">
        <f>VLOOKUP(A167,Tabla29[],3,FALSE)</f>
        <v>40</v>
      </c>
      <c r="T167">
        <f>VLOOKUP(A167,Tabla18[],3,FALSE)</f>
        <v>70.400000000000006</v>
      </c>
    </row>
    <row r="168" spans="1:20" x14ac:dyDescent="0.25">
      <c r="A168" s="2" t="s">
        <v>164</v>
      </c>
      <c r="B168" t="str">
        <f>VLOOKUP(A168,Tabla1[],2,FALSE)</f>
        <v>3.192.000.000</v>
      </c>
      <c r="C168" t="str">
        <f>VLOOKUP(A168,Tabla1[],3,FALSE)</f>
        <v>4,80%</v>
      </c>
      <c r="D168">
        <f>VLOOKUP(A168,Tabla1[],4,FALSE)</f>
        <v>579</v>
      </c>
      <c r="E168">
        <f>VLOOKUP(A168,Tabla2[],2,FALSE)</f>
        <v>33</v>
      </c>
      <c r="F168">
        <f>VLOOKUP(A168,Tabla2[],3,FALSE)</f>
        <v>114</v>
      </c>
      <c r="G168" t="e">
        <f>VLOOKUP(A168,Tabla4[],3,FALSE)</f>
        <v>#N/A</v>
      </c>
      <c r="H168">
        <f>VLOOKUP(A168,Tabla3[],3,FALSE)</f>
        <v>1.7170000000000001</v>
      </c>
      <c r="I168">
        <f>VLOOKUP(A168,Tabla16[],2,FALSE)</f>
        <v>6.29</v>
      </c>
      <c r="J168">
        <f>VLOOKUP(A168,Tabla17[],3,FALSE)</f>
        <v>0.432</v>
      </c>
      <c r="K168">
        <f>VLOOKUP(A168,Tabla17[],4,FALSE)</f>
        <v>0.16</v>
      </c>
      <c r="L168">
        <f>VLOOKUP(A168,Tabla17[],5,FALSE)</f>
        <v>0.40799999999999997</v>
      </c>
      <c r="M168">
        <f>VLOOKUP(A168,Tabla17[],6,FALSE)</f>
        <v>1464</v>
      </c>
      <c r="N168">
        <f>VLOOKUP(A168,Tabla17[],7,FALSE)</f>
        <v>542</v>
      </c>
      <c r="O168">
        <f>VLOOKUP(A168,Tabla17[],8,FALSE)</f>
        <v>1383</v>
      </c>
      <c r="P168" t="e">
        <f>VLOOKUP(A168,Tabla110[],2,FALSE)</f>
        <v>#N/A</v>
      </c>
      <c r="Q168" t="e">
        <f>VLOOKUP(A168,Tabla110[],3,FALSE)</f>
        <v>#N/A</v>
      </c>
      <c r="R168">
        <f>VLOOKUP(A168,Tabla29[],2,FALSE)</f>
        <v>821</v>
      </c>
      <c r="S168">
        <f>VLOOKUP(A168,Tabla29[],3,FALSE)</f>
        <v>40</v>
      </c>
      <c r="T168">
        <f>VLOOKUP(A168,Tabla18[],3,FALSE)</f>
        <v>43.1</v>
      </c>
    </row>
    <row r="169" spans="1:20" x14ac:dyDescent="0.25">
      <c r="A169" s="2" t="s">
        <v>86</v>
      </c>
      <c r="B169" t="str">
        <f>VLOOKUP(A169,Tabla1[],2,FALSE)</f>
        <v>389.020.000.000</v>
      </c>
      <c r="C169" t="str">
        <f>VLOOKUP(A169,Tabla1[],3,FALSE)</f>
        <v>2,55%</v>
      </c>
      <c r="D169">
        <f>VLOOKUP(A169,Tabla1[],4,FALSE)</f>
        <v>35.677999999999997</v>
      </c>
      <c r="E169" t="e">
        <f>VLOOKUP(A169,Tabla2[],2,FALSE)</f>
        <v>#N/A</v>
      </c>
      <c r="F169" t="e">
        <f>VLOOKUP(A169,Tabla2[],3,FALSE)</f>
        <v>#N/A</v>
      </c>
      <c r="G169" t="e">
        <f>VLOOKUP(A169,Tabla4[],3,FALSE)</f>
        <v>#N/A</v>
      </c>
      <c r="H169" t="e">
        <f>VLOOKUP(A169,Tabla3[],3,FALSE)</f>
        <v>#N/A</v>
      </c>
      <c r="I169" t="e">
        <f>VLOOKUP(A169,Tabla16[],2,FALSE)</f>
        <v>#N/A</v>
      </c>
      <c r="J169" t="e">
        <f>VLOOKUP(A169,Tabla17[],3,FALSE)</f>
        <v>#N/A</v>
      </c>
      <c r="K169" t="e">
        <f>VLOOKUP(A169,Tabla17[],4,FALSE)</f>
        <v>#N/A</v>
      </c>
      <c r="L169" t="e">
        <f>VLOOKUP(A169,Tabla17[],5,FALSE)</f>
        <v>#N/A</v>
      </c>
      <c r="M169" t="e">
        <f>VLOOKUP(A169,Tabla17[],6,FALSE)</f>
        <v>#N/A</v>
      </c>
      <c r="N169" t="e">
        <f>VLOOKUP(A169,Tabla17[],7,FALSE)</f>
        <v>#N/A</v>
      </c>
      <c r="O169" t="e">
        <f>VLOOKUP(A169,Tabla17[],8,FALSE)</f>
        <v>#N/A</v>
      </c>
      <c r="P169" t="e">
        <f>VLOOKUP(A169,Tabla110[],2,FALSE)</f>
        <v>#N/A</v>
      </c>
      <c r="Q169" t="e">
        <f>VLOOKUP(A169,Tabla110[],3,FALSE)</f>
        <v>#N/A</v>
      </c>
      <c r="R169" t="e">
        <f>VLOOKUP(A169,Tabla29[],2,FALSE)</f>
        <v>#N/A</v>
      </c>
      <c r="S169" t="e">
        <f>VLOOKUP(A169,Tabla29[],3,FALSE)</f>
        <v>#N/A</v>
      </c>
      <c r="T169" t="e">
        <f>VLOOKUP(A169,Tabla18[],3,FALSE)</f>
        <v>#N/A</v>
      </c>
    </row>
    <row r="170" spans="1:20" x14ac:dyDescent="0.25">
      <c r="A170" s="2" t="s">
        <v>70</v>
      </c>
      <c r="B170" t="str">
        <f>VLOOKUP(A170,Tabla1[],2,FALSE)</f>
        <v>127.895.000.000</v>
      </c>
      <c r="C170" t="str">
        <f>VLOOKUP(A170,Tabla1[],3,FALSE)</f>
        <v>2,12%</v>
      </c>
      <c r="D170">
        <f>VLOOKUP(A170,Tabla1[],4,FALSE)</f>
        <v>11.749000000000001</v>
      </c>
      <c r="E170">
        <f>VLOOKUP(A170,Tabla2[],2,FALSE)</f>
        <v>14.691000000000001</v>
      </c>
      <c r="F170">
        <f>VLOOKUP(A170,Tabla2[],3,FALSE)</f>
        <v>5.6319999999999997</v>
      </c>
      <c r="G170" t="str">
        <f>VLOOKUP(A170,Tabla4[],3,FALSE)</f>
        <v>17.402,8</v>
      </c>
      <c r="H170">
        <f>VLOOKUP(A170,Tabla3[],3,FALSE)</f>
        <v>73.262</v>
      </c>
      <c r="I170" t="str">
        <f>VLOOKUP(A170,Tabla16[],2,FALSE)</f>
        <v>5,56</v>
      </c>
      <c r="J170">
        <f>VLOOKUP(A170,Tabla17[],3,FALSE)</f>
        <v>5.6000000000000001E-2</v>
      </c>
      <c r="K170">
        <f>VLOOKUP(A170,Tabla17[],4,FALSE)</f>
        <v>0.33</v>
      </c>
      <c r="L170">
        <f>VLOOKUP(A170,Tabla17[],5,FALSE)</f>
        <v>0.61399999999999999</v>
      </c>
      <c r="M170">
        <f>VLOOKUP(A170,Tabla17[],6,FALSE)</f>
        <v>9688</v>
      </c>
      <c r="N170" t="str">
        <f>VLOOKUP(A170,Tabla17[],7,FALSE)</f>
        <v>57 090</v>
      </c>
      <c r="O170" t="str">
        <f>VLOOKUP(A170,Tabla17[],8,FALSE)</f>
        <v>106 222</v>
      </c>
      <c r="P170" t="e">
        <f>VLOOKUP(A170,Tabla110[],2,FALSE)</f>
        <v>#N/A</v>
      </c>
      <c r="Q170" t="e">
        <f>VLOOKUP(A170,Tabla110[],3,FALSE)</f>
        <v>#N/A</v>
      </c>
      <c r="R170">
        <f>VLOOKUP(A170,Tabla29[],2,FALSE)</f>
        <v>2.613</v>
      </c>
      <c r="S170">
        <f>VLOOKUP(A170,Tabla29[],3,FALSE)</f>
        <v>44</v>
      </c>
      <c r="T170">
        <f>VLOOKUP(A170,Tabla18[],3,FALSE)</f>
        <v>63.8</v>
      </c>
    </row>
    <row r="171" spans="1:20" x14ac:dyDescent="0.25">
      <c r="A171" s="1" t="s">
        <v>205</v>
      </c>
      <c r="B171" t="str">
        <f>VLOOKUP(A171,Tabla1[],2,FALSE)</f>
        <v>15.973.000.000</v>
      </c>
      <c r="C171" t="str">
        <f>VLOOKUP(A171,Tabla1[],3,FALSE)</f>
        <v>6,98%</v>
      </c>
      <c r="D171">
        <f>VLOOKUP(A171,Tabla1[],4,FALSE)</f>
        <v>1.1279999999999999</v>
      </c>
      <c r="E171">
        <f>VLOOKUP(A171,Tabla2[],2,FALSE)</f>
        <v>1.0429999999999999</v>
      </c>
      <c r="F171">
        <f>VLOOKUP(A171,Tabla2[],3,FALSE)</f>
        <v>948</v>
      </c>
      <c r="G171" t="str">
        <f>VLOOKUP(A171,Tabla4[],3,FALSE)</f>
        <v>2.281,1</v>
      </c>
      <c r="H171">
        <f>VLOOKUP(A171,Tabla3[],3,FALSE)</f>
        <v>9.0890000000000004</v>
      </c>
      <c r="I171" t="str">
        <f>VLOOKUP(A171,Tabla16[],2,FALSE)</f>
        <v>14,93</v>
      </c>
      <c r="J171">
        <f>VLOOKUP(A171,Tabla17[],3,FALSE)</f>
        <v>0.309</v>
      </c>
      <c r="K171">
        <f>VLOOKUP(A171,Tabla17[],4,FALSE)</f>
        <v>0.17599999999999999</v>
      </c>
      <c r="L171">
        <f>VLOOKUP(A171,Tabla17[],5,FALSE)</f>
        <v>0.51500000000000001</v>
      </c>
      <c r="M171">
        <f>VLOOKUP(A171,Tabla17[],6,FALSE)</f>
        <v>7626</v>
      </c>
      <c r="N171">
        <f>VLOOKUP(A171,Tabla17[],7,FALSE)</f>
        <v>4344</v>
      </c>
      <c r="O171" t="str">
        <f>VLOOKUP(A171,Tabla17[],8,FALSE)</f>
        <v>12 710</v>
      </c>
      <c r="P171" t="str">
        <f>VLOOKUP(A171,Tabla110[],2,FALSE)</f>
        <v> FRANCO DE RUANDA</v>
      </c>
      <c r="Q171">
        <f>VLOOKUP(A171,Tabla110[],3,FALSE)</f>
        <v>1368</v>
      </c>
      <c r="R171">
        <f>VLOOKUP(A171,Tabla29[],2,FALSE)</f>
        <v>0</v>
      </c>
      <c r="S171">
        <f>VLOOKUP(A171,Tabla29[],3,FALSE)</f>
        <v>45</v>
      </c>
      <c r="T171">
        <f>VLOOKUP(A171,Tabla18[],3,FALSE)</f>
        <v>56.5</v>
      </c>
    </row>
    <row r="172" spans="1:20" x14ac:dyDescent="0.25">
      <c r="A172" s="1" t="s">
        <v>17</v>
      </c>
      <c r="B172" t="str">
        <f>VLOOKUP(A172,Tabla1[],2,FALSE)</f>
        <v>427.941.000.000</v>
      </c>
      <c r="C172" t="str">
        <f>VLOOKUP(A172,Tabla1[],3,FALSE)</f>
        <v>0,67%</v>
      </c>
      <c r="D172">
        <f>VLOOKUP(A172,Tabla1[],4,FALSE)</f>
        <v>22.725000000000001</v>
      </c>
      <c r="E172">
        <f>VLOOKUP(TRIM(A172),Tabla2[],2,FALSE)</f>
        <v>42.933</v>
      </c>
      <c r="F172">
        <f>VLOOKUP(A172,Tabla2[],3,FALSE)</f>
        <v>30.648</v>
      </c>
      <c r="G172" t="e">
        <f>VLOOKUP(A172,Tabla4[],3,FALSE)</f>
        <v>#N/A</v>
      </c>
      <c r="H172" t="e">
        <f>VLOOKUP(A172,Tabla3[],3,FALSE)</f>
        <v>#N/A</v>
      </c>
      <c r="I172" t="str">
        <f>VLOOKUP(A172,Tabla16[],2,FALSE)</f>
        <v>5,60</v>
      </c>
      <c r="J172">
        <f>VLOOKUP(A172,Tabla17[],3,FALSE)</f>
        <v>4.2000000000000003E-2</v>
      </c>
      <c r="K172">
        <f>VLOOKUP(A172,Tabla17[],4,FALSE)</f>
        <v>0.33200000000000002</v>
      </c>
      <c r="L172">
        <f>VLOOKUP(A172,Tabla17[],5,FALSE)</f>
        <v>0.626</v>
      </c>
      <c r="M172" t="str">
        <f>VLOOKUP(A172,Tabla17[],6,FALSE)</f>
        <v>20 303</v>
      </c>
      <c r="N172" t="str">
        <f>VLOOKUP(A172,Tabla17[],7,FALSE)</f>
        <v>160 489</v>
      </c>
      <c r="O172" t="str">
        <f>VLOOKUP(A172,Tabla17[],8,FALSE)</f>
        <v>302 608</v>
      </c>
      <c r="P172" t="str">
        <f>VLOOKUP(A172,Tabla110[],2,FALSE)</f>
        <v> LEU RUMANO</v>
      </c>
      <c r="Q172">
        <f>VLOOKUP(A172,Tabla110[],3,FALSE)</f>
        <v>4781</v>
      </c>
      <c r="R172">
        <f>VLOOKUP(A172,Tabla29[],2,FALSE)</f>
        <v>11.683</v>
      </c>
      <c r="S172">
        <f>VLOOKUP(A172,Tabla29[],3,FALSE)</f>
        <v>40</v>
      </c>
      <c r="T172">
        <f>VLOOKUP(A172,Tabla18[],3,FALSE)</f>
        <v>65.400000000000006</v>
      </c>
    </row>
    <row r="173" spans="1:20" x14ac:dyDescent="0.25">
      <c r="A173" s="1" t="s">
        <v>25</v>
      </c>
      <c r="B173" t="str">
        <f>VLOOKUP(A173,Tabla1[],2,FALSE)</f>
        <v>2.587.938.000.000</v>
      </c>
      <c r="C173" t="str">
        <f>VLOOKUP(A173,Tabla1[],3,FALSE)</f>
        <v>0,98%</v>
      </c>
      <c r="D173">
        <f>VLOOKUP(A173,Tabla1[],4,FALSE)</f>
        <v>17.972000000000001</v>
      </c>
      <c r="E173">
        <f>VLOOKUP(TRIM(A173),Tabla2[],2,FALSE)</f>
        <v>42.186</v>
      </c>
      <c r="F173">
        <f>VLOOKUP(A173,Tabla2[],3,FALSE)</f>
        <v>81.325999999999993</v>
      </c>
      <c r="G173" t="e">
        <f>VLOOKUP(A173,Tabla4[],3,FALSE)</f>
        <v>#N/A</v>
      </c>
      <c r="H173">
        <f>VLOOKUP(A173,Tabla3[],3,FALSE)</f>
        <v>440.09</v>
      </c>
      <c r="I173">
        <f>VLOOKUP(A173,Tabla16[],2,FALSE)</f>
        <v>3.33</v>
      </c>
      <c r="J173">
        <f>VLOOKUP(A173,Tabla17[],3,FALSE)</f>
        <v>4.7E-2</v>
      </c>
      <c r="K173">
        <f>VLOOKUP(A173,Tabla17[],4,FALSE)</f>
        <v>0.32400000000000001</v>
      </c>
      <c r="L173">
        <f>VLOOKUP(A173,Tabla17[],5,FALSE)</f>
        <v>0.623</v>
      </c>
      <c r="M173" t="str">
        <f>VLOOKUP(A173,Tabla17[],6,FALSE)</f>
        <v>188 752</v>
      </c>
      <c r="N173" t="str">
        <f>VLOOKUP(A173,Tabla17[],7,FALSE)</f>
        <v>1 301 184</v>
      </c>
      <c r="O173" t="str">
        <f>VLOOKUP(A173,Tabla17[],8,FALSE)</f>
        <v>2 501 968</v>
      </c>
      <c r="P173" t="str">
        <f>VLOOKUP(A173,Tabla110[],2,FALSE)</f>
        <v> RUBLO RUSO</v>
      </c>
      <c r="Q173">
        <f>VLOOKUP(A173,Tabla110[],3,FALSE)</f>
        <v>100</v>
      </c>
      <c r="R173">
        <f>VLOOKUP(A173,Tabla29[],2,FALSE)</f>
        <v>4.4139999999999997</v>
      </c>
      <c r="S173">
        <f>VLOOKUP(A173,Tabla29[],3,FALSE)</f>
        <v>40</v>
      </c>
      <c r="T173">
        <f>VLOOKUP(A173,Tabla18[],3,FALSE)</f>
        <v>50.3</v>
      </c>
    </row>
    <row r="174" spans="1:20" x14ac:dyDescent="0.25">
      <c r="A174" s="1" t="s">
        <v>147</v>
      </c>
      <c r="B174" t="str">
        <f>VLOOKUP(A174,Tabla1[],2,FALSE)</f>
        <v>1.288.000.000</v>
      </c>
      <c r="C174" t="str">
        <f>VLOOKUP(A174,Tabla1[],3,FALSE)</f>
        <v>4,20%</v>
      </c>
      <c r="D174">
        <f>VLOOKUP(A174,Tabla1[],4,FALSE)</f>
        <v>6.0750000000000002</v>
      </c>
      <c r="E174">
        <f>VLOOKUP(A174,Tabla2[],2,FALSE)</f>
        <v>303</v>
      </c>
      <c r="F174">
        <f>VLOOKUP(A174,Tabla2[],3,FALSE)</f>
        <v>132</v>
      </c>
      <c r="G174" t="str">
        <f>VLOOKUP(A174,Tabla4[],3,FALSE)</f>
        <v>285,3</v>
      </c>
      <c r="H174">
        <f>VLOOKUP(A174,Tabla3[],3,FALSE)</f>
        <v>296</v>
      </c>
      <c r="I174" t="str">
        <f>VLOOKUP(A174,Tabla16[],2,FALSE)</f>
        <v>9,75</v>
      </c>
      <c r="J174">
        <f>VLOOKUP(A174,Tabla17[],3,FALSE)</f>
        <v>0.104</v>
      </c>
      <c r="K174">
        <f>VLOOKUP(A174,Tabla17[],4,FALSE)</f>
        <v>0.23599999999999999</v>
      </c>
      <c r="L174">
        <f>VLOOKUP(A174,Tabla17[],5,FALSE)</f>
        <v>0.66</v>
      </c>
      <c r="M174">
        <f>VLOOKUP(A174,Tabla17[],6,FALSE)</f>
        <v>118</v>
      </c>
      <c r="N174">
        <f>VLOOKUP(A174,Tabla17[],7,FALSE)</f>
        <v>268</v>
      </c>
      <c r="O174">
        <f>VLOOKUP(A174,Tabla17[],8,FALSE)</f>
        <v>750</v>
      </c>
      <c r="P174" t="e">
        <f>VLOOKUP(A174,Tabla110[],2,FALSE)</f>
        <v>#N/A</v>
      </c>
      <c r="Q174" t="e">
        <f>VLOOKUP(A174,Tabla110[],3,FALSE)</f>
        <v>#N/A</v>
      </c>
      <c r="R174">
        <f>VLOOKUP(A174,Tabla29[],2,FALSE)</f>
        <v>1.625</v>
      </c>
      <c r="S174">
        <f>VLOOKUP(A174,Tabla29[],3,FALSE)</f>
        <v>40</v>
      </c>
      <c r="T174">
        <f>VLOOKUP(A174,Tabla18[],3,FALSE)</f>
        <v>68</v>
      </c>
    </row>
    <row r="175" spans="1:20" x14ac:dyDescent="0.25">
      <c r="A175" s="1" t="s">
        <v>49</v>
      </c>
      <c r="B175" t="str">
        <f>VLOOKUP(A175,Tabla1[],2,FALSE)</f>
        <v>871.000.000</v>
      </c>
      <c r="C175" t="str">
        <f>VLOOKUP(A175,Tabla1[],3,FALSE)</f>
        <v>1,74%</v>
      </c>
      <c r="D175">
        <f>VLOOKUP(A175,Tabla1[],4,FALSE)</f>
        <v>18.016999999999999</v>
      </c>
      <c r="E175" t="e">
        <f>VLOOKUP(A175,Tabla2[],2,FALSE)</f>
        <v>#N/A</v>
      </c>
      <c r="F175" t="e">
        <f>VLOOKUP(A175,Tabla2[],3,FALSE)</f>
        <v>#N/A</v>
      </c>
      <c r="G175" t="e">
        <f>VLOOKUP(A175,Tabla4[],3,FALSE)</f>
        <v>#N/A</v>
      </c>
      <c r="H175" t="e">
        <f>VLOOKUP(A175,Tabla3[],3,FALSE)</f>
        <v>#N/A</v>
      </c>
      <c r="I175" t="e">
        <f>VLOOKUP(A175,Tabla16[],2,FALSE)</f>
        <v>#N/A</v>
      </c>
      <c r="J175" t="e">
        <f>VLOOKUP(A175,Tabla17[],3,FALSE)</f>
        <v>#N/A</v>
      </c>
      <c r="K175" t="e">
        <f>VLOOKUP(A175,Tabla17[],4,FALSE)</f>
        <v>#N/A</v>
      </c>
      <c r="L175" t="e">
        <f>VLOOKUP(A175,Tabla17[],5,FALSE)</f>
        <v>#N/A</v>
      </c>
      <c r="M175" t="e">
        <f>VLOOKUP(A175,Tabla17[],6,FALSE)</f>
        <v>#N/A</v>
      </c>
      <c r="N175" t="e">
        <f>VLOOKUP(A175,Tabla17[],7,FALSE)</f>
        <v>#N/A</v>
      </c>
      <c r="O175" t="e">
        <f>VLOOKUP(A175,Tabla17[],8,FALSE)</f>
        <v>#N/A</v>
      </c>
      <c r="P175" t="e">
        <f>VLOOKUP(A175,Tabla110[],2,FALSE)</f>
        <v>#N/A</v>
      </c>
      <c r="Q175" t="e">
        <f>VLOOKUP(A175,Tabla110[],3,FALSE)</f>
        <v>#N/A</v>
      </c>
      <c r="R175" t="e">
        <f>VLOOKUP(A175,Tabla29[],2,FALSE)</f>
        <v>#N/A</v>
      </c>
      <c r="S175" t="e">
        <f>VLOOKUP(A175,Tabla29[],3,FALSE)</f>
        <v>#N/A</v>
      </c>
      <c r="T175" t="e">
        <f>VLOOKUP(A175,Tabla18[],3,FALSE)</f>
        <v>#N/A</v>
      </c>
    </row>
    <row r="176" spans="1:20" x14ac:dyDescent="0.25">
      <c r="A176" s="1" t="s">
        <v>41</v>
      </c>
      <c r="B176" t="str">
        <f>VLOOKUP(A176,Tabla1[],2,FALSE)</f>
        <v>1.082.000.000</v>
      </c>
      <c r="C176" t="str">
        <f>VLOOKUP(A176,Tabla1[],3,FALSE)</f>
        <v>1,50%</v>
      </c>
      <c r="D176">
        <f>VLOOKUP(A176,Tabla1[],4,FALSE)</f>
        <v>21.001999999999999</v>
      </c>
      <c r="E176">
        <f>VLOOKUP(A176,Tabla2[],2,FALSE)</f>
        <v>551</v>
      </c>
      <c r="F176">
        <f>VLOOKUP(A176,Tabla2[],3,FALSE)</f>
        <v>294</v>
      </c>
      <c r="G176" t="e">
        <f>VLOOKUP(A176,Tabla4[],3,FALSE)</f>
        <v>#N/A</v>
      </c>
      <c r="H176">
        <f>VLOOKUP(A176,Tabla3[],3,FALSE)</f>
        <v>581</v>
      </c>
      <c r="I176" t="e">
        <f>VLOOKUP(A176,Tabla16[],2,FALSE)</f>
        <v>#N/A</v>
      </c>
      <c r="J176">
        <f>VLOOKUP(A176,Tabla17[],3,FALSE)</f>
        <v>1.0999999999999999E-2</v>
      </c>
      <c r="K176">
        <f>VLOOKUP(A176,Tabla17[],4,FALSE)</f>
        <v>0.3</v>
      </c>
      <c r="L176">
        <f>VLOOKUP(A176,Tabla17[],5,FALSE)</f>
        <v>0.68899999999999995</v>
      </c>
      <c r="M176">
        <f>VLOOKUP(A176,Tabla17[],6,FALSE)</f>
        <v>17</v>
      </c>
      <c r="N176">
        <f>VLOOKUP(A176,Tabla17[],7,FALSE)</f>
        <v>465</v>
      </c>
      <c r="O176">
        <f>VLOOKUP(A176,Tabla17[],8,FALSE)</f>
        <v>1068</v>
      </c>
      <c r="P176" t="e">
        <f>VLOOKUP(A176,Tabla110[],2,FALSE)</f>
        <v>#N/A</v>
      </c>
      <c r="Q176" t="e">
        <f>VLOOKUP(A176,Tabla110[],3,FALSE)</f>
        <v>#N/A</v>
      </c>
      <c r="R176">
        <f>VLOOKUP(A176,Tabla29[],2,FALSE)</f>
        <v>6.9329999999999998</v>
      </c>
      <c r="S176">
        <f>VLOOKUP(A176,Tabla29[],3,FALSE)</f>
        <v>40</v>
      </c>
      <c r="T176" t="e">
        <f>VLOOKUP(A176,Tabla18[],3,FALSE)</f>
        <v>#N/A</v>
      </c>
    </row>
    <row r="177" spans="1:20" x14ac:dyDescent="0.25">
      <c r="A177" s="2" t="s">
        <v>42</v>
      </c>
      <c r="B177" t="str">
        <f>VLOOKUP(A177,Tabla1[],2,FALSE)</f>
        <v>2.251.000.000</v>
      </c>
      <c r="C177" t="str">
        <f>VLOOKUP(A177,Tabla1[],3,FALSE)</f>
        <v>1,50%</v>
      </c>
      <c r="D177">
        <f>VLOOKUP(A177,Tabla1[],4,FALSE)</f>
        <v>65.543000000000006</v>
      </c>
      <c r="E177">
        <f>VLOOKUP(A177,Tabla2[],2,FALSE)</f>
        <v>891</v>
      </c>
      <c r="F177">
        <f>VLOOKUP(A177,Tabla2[],3,FALSE)</f>
        <v>849</v>
      </c>
      <c r="G177" t="e">
        <f>VLOOKUP(A177,Tabla4[],3,FALSE)</f>
        <v>#N/A</v>
      </c>
      <c r="H177">
        <f>VLOOKUP(A177,Tabla3[],3,FALSE)</f>
        <v>1.2929999999999999</v>
      </c>
      <c r="I177" t="e">
        <f>VLOOKUP(A177,Tabla16[],2,FALSE)</f>
        <v>#N/A</v>
      </c>
      <c r="J177">
        <f>VLOOKUP(A177,Tabla17[],3,FALSE)</f>
        <v>1E-3</v>
      </c>
      <c r="K177">
        <f>VLOOKUP(A177,Tabla17[],4,FALSE)</f>
        <v>0.39200000000000002</v>
      </c>
      <c r="L177">
        <f>VLOOKUP(A177,Tabla17[],5,FALSE)</f>
        <v>0.60699999999999998</v>
      </c>
      <c r="M177">
        <f>VLOOKUP(A177,Tabla17[],6,FALSE)</f>
        <v>2</v>
      </c>
      <c r="N177">
        <f>VLOOKUP(A177,Tabla17[],7,FALSE)</f>
        <v>809</v>
      </c>
      <c r="O177">
        <f>VLOOKUP(A177,Tabla17[],8,FALSE)</f>
        <v>1253</v>
      </c>
      <c r="P177" t="e">
        <f>VLOOKUP(A177,Tabla110[],2,FALSE)</f>
        <v>#N/A</v>
      </c>
      <c r="Q177" t="e">
        <f>VLOOKUP(A177,Tabla110[],3,FALSE)</f>
        <v>#N/A</v>
      </c>
      <c r="R177">
        <f>VLOOKUP(A177,Tabla29[],2,FALSE)</f>
        <v>21.31</v>
      </c>
      <c r="S177">
        <f>VLOOKUP(A177,Tabla29[],3,FALSE)</f>
        <v>37.5</v>
      </c>
      <c r="T177" t="e">
        <f>VLOOKUP(A177,Tabla18[],3,FALSE)</f>
        <v>#N/A</v>
      </c>
    </row>
    <row r="178" spans="1:20" x14ac:dyDescent="0.25">
      <c r="A178" s="2" t="s">
        <v>168</v>
      </c>
      <c r="B178" t="str">
        <f>VLOOKUP(A178,Tabla1[],2,FALSE)</f>
        <v>649.206.156</v>
      </c>
      <c r="C178" t="str">
        <f>VLOOKUP(A178,Tabla1[],3,FALSE)</f>
        <v>4,90%</v>
      </c>
      <c r="D178">
        <f>VLOOKUP(A178,Tabla1[],4,FALSE)</f>
        <v>21.667999999999999</v>
      </c>
      <c r="E178">
        <f>VLOOKUP(A178,Tabla2[],2,FALSE)</f>
        <v>1.2729999999999999</v>
      </c>
      <c r="F178">
        <f>VLOOKUP(A178,Tabla2[],3,FALSE)</f>
        <v>330</v>
      </c>
      <c r="G178" t="e">
        <f>VLOOKUP(A178,Tabla4[],3,FALSE)</f>
        <v>#N/A</v>
      </c>
      <c r="H178" t="e">
        <f>VLOOKUP(A178,Tabla3[],3,FALSE)</f>
        <v>#N/A</v>
      </c>
      <c r="I178" t="e">
        <f>VLOOKUP(A178,Tabla16[],2,FALSE)</f>
        <v>#N/A</v>
      </c>
      <c r="J178" t="e">
        <f>VLOOKUP(A178,Tabla17[],3,FALSE)</f>
        <v>#N/A</v>
      </c>
      <c r="K178" t="e">
        <f>VLOOKUP(A178,Tabla17[],4,FALSE)</f>
        <v>#N/A</v>
      </c>
      <c r="L178" t="e">
        <f>VLOOKUP(A178,Tabla17[],5,FALSE)</f>
        <v>#N/A</v>
      </c>
      <c r="M178" t="e">
        <f>VLOOKUP(A178,Tabla17[],6,FALSE)</f>
        <v>#N/A</v>
      </c>
      <c r="N178" t="e">
        <f>VLOOKUP(A178,Tabla17[],7,FALSE)</f>
        <v>#N/A</v>
      </c>
      <c r="O178" t="e">
        <f>VLOOKUP(A178,Tabla17[],8,FALSE)</f>
        <v>#N/A</v>
      </c>
      <c r="P178" t="e">
        <f>VLOOKUP(A178,Tabla110[],2,FALSE)</f>
        <v>#N/A</v>
      </c>
      <c r="Q178" t="e">
        <f>VLOOKUP(A178,Tabla110[],3,FALSE)</f>
        <v>#N/A</v>
      </c>
      <c r="R178" t="e">
        <f>VLOOKUP(A178,Tabla29[],2,FALSE)</f>
        <v>#N/A</v>
      </c>
      <c r="S178" t="e">
        <f>VLOOKUP(A178,Tabla29[],3,FALSE)</f>
        <v>#N/A</v>
      </c>
      <c r="T178" t="e">
        <f>VLOOKUP(A178,Tabla18[],3,FALSE)</f>
        <v>#N/A</v>
      </c>
    </row>
    <row r="179" spans="1:20" x14ac:dyDescent="0.25">
      <c r="A179" s="2" t="s">
        <v>120</v>
      </c>
      <c r="B179" t="str">
        <f>VLOOKUP(A179,Tabla1[],2,FALSE)</f>
        <v>1.176.000.000</v>
      </c>
      <c r="C179" t="str">
        <f>VLOOKUP(A179,Tabla1[],3,FALSE)</f>
        <v>3,39%</v>
      </c>
      <c r="D179">
        <f>VLOOKUP(A179,Tabla1[],4,FALSE)</f>
        <v>10.573</v>
      </c>
      <c r="E179">
        <f>VLOOKUP(A179,Tabla2[],2,FALSE)</f>
        <v>296</v>
      </c>
      <c r="F179">
        <f>VLOOKUP(A179,Tabla2[],3,FALSE)</f>
        <v>187</v>
      </c>
      <c r="G179" t="e">
        <f>VLOOKUP(A179,Tabla4[],3,FALSE)</f>
        <v>#N/A</v>
      </c>
      <c r="H179">
        <f>VLOOKUP(A179,Tabla3[],3,FALSE)</f>
        <v>1.077</v>
      </c>
      <c r="I179" t="str">
        <f>VLOOKUP(A179,Tabla16[],2,FALSE)</f>
        <v>18,67</v>
      </c>
      <c r="J179">
        <f>VLOOKUP(A179,Tabla17[],3,FALSE)</f>
        <v>7.0999999999999994E-2</v>
      </c>
      <c r="K179">
        <f>VLOOKUP(A179,Tabla17[],4,FALSE)</f>
        <v>0.17399999999999999</v>
      </c>
      <c r="L179">
        <f>VLOOKUP(A179,Tabla17[],5,FALSE)</f>
        <v>0.755</v>
      </c>
      <c r="M179">
        <f>VLOOKUP(A179,Tabla17[],6,FALSE)</f>
        <v>90</v>
      </c>
      <c r="N179">
        <f>VLOOKUP(A179,Tabla17[],7,FALSE)</f>
        <v>220</v>
      </c>
      <c r="O179">
        <f>VLOOKUP(A179,Tabla17[],8,FALSE)</f>
        <v>955</v>
      </c>
      <c r="P179" t="e">
        <f>VLOOKUP(A179,Tabla110[],2,FALSE)</f>
        <v>#N/A</v>
      </c>
      <c r="Q179" t="e">
        <f>VLOOKUP(A179,Tabla110[],3,FALSE)</f>
        <v>#N/A</v>
      </c>
      <c r="R179">
        <f>VLOOKUP(A179,Tabla29[],2,FALSE)</f>
        <v>2.407</v>
      </c>
      <c r="S179">
        <f>VLOOKUP(A179,Tabla29[],3,FALSE)</f>
        <v>40</v>
      </c>
      <c r="T179">
        <f>VLOOKUP(A179,Tabla18[],3,FALSE)</f>
        <v>60</v>
      </c>
    </row>
    <row r="180" spans="1:20" x14ac:dyDescent="0.25">
      <c r="A180" s="1" t="s">
        <v>47</v>
      </c>
      <c r="B180" t="str">
        <f>VLOOKUP(A180,Tabla1[],2,FALSE)</f>
        <v>2.651.000.000</v>
      </c>
      <c r="C180" t="str">
        <f>VLOOKUP(A180,Tabla1[],3,FALSE)</f>
        <v>1,65%</v>
      </c>
      <c r="D180">
        <f>VLOOKUP(A180,Tabla1[],4,FALSE)</f>
        <v>14.603</v>
      </c>
      <c r="E180">
        <f>VLOOKUP(A180,Tabla2[],2,FALSE)</f>
        <v>1.2749999999999999</v>
      </c>
      <c r="F180">
        <f>VLOOKUP(A180,Tabla2[],3,FALSE)</f>
        <v>540</v>
      </c>
      <c r="G180" t="str">
        <f>VLOOKUP(A180,Tabla4[],3,FALSE)</f>
        <v>512,2</v>
      </c>
      <c r="H180">
        <f>VLOOKUP(A180,Tabla3[],3,FALSE)</f>
        <v>1.837</v>
      </c>
      <c r="I180">
        <f>VLOOKUP(A180,Tabla16[],2,FALSE)</f>
        <v>11.09</v>
      </c>
      <c r="J180">
        <f>VLOOKUP(A180,Tabla17[],3,FALSE)</f>
        <v>2.9000000000000001E-2</v>
      </c>
      <c r="K180">
        <f>VLOOKUP(A180,Tabla17[],4,FALSE)</f>
        <v>0.14199999999999999</v>
      </c>
      <c r="L180">
        <f>VLOOKUP(A180,Tabla17[],5,FALSE)</f>
        <v>0.82799999999999996</v>
      </c>
      <c r="M180">
        <f>VLOOKUP(A180,Tabla17[],6,FALSE)</f>
        <v>74</v>
      </c>
      <c r="N180">
        <f>VLOOKUP(A180,Tabla17[],7,FALSE)</f>
        <v>361</v>
      </c>
      <c r="O180">
        <f>VLOOKUP(A180,Tabla17[],8,FALSE)</f>
        <v>2105</v>
      </c>
      <c r="P180" t="e">
        <f>VLOOKUP(A180,Tabla110[],2,FALSE)</f>
        <v>#N/A</v>
      </c>
      <c r="Q180" t="e">
        <f>VLOOKUP(A180,Tabla110[],3,FALSE)</f>
        <v>#N/A</v>
      </c>
      <c r="R180">
        <f>VLOOKUP(A180,Tabla29[],2,FALSE)</f>
        <v>0</v>
      </c>
      <c r="S180">
        <f>VLOOKUP(A180,Tabla29[],3,FALSE)</f>
        <v>40</v>
      </c>
      <c r="T180">
        <f>VLOOKUP(A180,Tabla18[],3,FALSE)</f>
        <v>67.5</v>
      </c>
    </row>
    <row r="181" spans="1:20" x14ac:dyDescent="0.25">
      <c r="A181" s="1" t="s">
        <v>67</v>
      </c>
      <c r="B181" t="str">
        <f>VLOOKUP(A181,Tabla1[],2,FALSE)</f>
        <v>981.000.000</v>
      </c>
      <c r="C181" t="str">
        <f>VLOOKUP(A181,Tabla1[],3,FALSE)</f>
        <v>2,10%</v>
      </c>
      <c r="D181">
        <f>VLOOKUP(A181,Tabla1[],4,FALSE)</f>
        <v>4.085</v>
      </c>
      <c r="E181">
        <f>VLOOKUP(A181,Tabla2[],2,FALSE)</f>
        <v>75</v>
      </c>
      <c r="F181">
        <f>VLOOKUP(A181,Tabla2[],3,FALSE)</f>
        <v>55</v>
      </c>
      <c r="G181" t="e">
        <f>VLOOKUP(A181,Tabla4[],3,FALSE)</f>
        <v>#N/A</v>
      </c>
      <c r="H181">
        <f>VLOOKUP(A181,Tabla3[],3,FALSE)</f>
        <v>510</v>
      </c>
      <c r="I181">
        <f>VLOOKUP(A181,Tabla16[],2,FALSE)</f>
        <v>14.21</v>
      </c>
      <c r="J181">
        <f>VLOOKUP(A181,Tabla17[],3,FALSE)</f>
        <v>0.11799999999999999</v>
      </c>
      <c r="K181">
        <f>VLOOKUP(A181,Tabla17[],4,FALSE)</f>
        <v>0.14799999999999999</v>
      </c>
      <c r="L181">
        <f>VLOOKUP(A181,Tabla17[],5,FALSE)</f>
        <v>0.73399999999999999</v>
      </c>
      <c r="M181">
        <f>VLOOKUP(A181,Tabla17[],6,FALSE)</f>
        <v>81</v>
      </c>
      <c r="N181">
        <f>VLOOKUP(A181,Tabla17[],7,FALSE)</f>
        <v>102</v>
      </c>
      <c r="O181">
        <f>VLOOKUP(A181,Tabla17[],8,FALSE)</f>
        <v>504</v>
      </c>
      <c r="P181" t="e">
        <f>VLOOKUP(A181,Tabla110[],2,FALSE)</f>
        <v>#N/A</v>
      </c>
      <c r="Q181" t="e">
        <f>VLOOKUP(A181,Tabla110[],3,FALSE)</f>
        <v>#N/A</v>
      </c>
      <c r="R181" t="e">
        <f>VLOOKUP(A181,Tabla29[],2,FALSE)</f>
        <v>#N/A</v>
      </c>
      <c r="S181" t="e">
        <f>VLOOKUP(A181,Tabla29[],3,FALSE)</f>
        <v>#N/A</v>
      </c>
      <c r="T181">
        <f>VLOOKUP(A181,Tabla18[],3,FALSE)</f>
        <v>60.6</v>
      </c>
    </row>
    <row r="182" spans="1:20" x14ac:dyDescent="0.25">
      <c r="A182" s="2" t="s">
        <v>214</v>
      </c>
      <c r="B182" t="str">
        <f>VLOOKUP(A182,Tabla1[],2,FALSE)</f>
        <v>37.116.000.000</v>
      </c>
      <c r="C182" t="str">
        <f>VLOOKUP(A182,Tabla1[],3,FALSE)</f>
        <v>7,88%</v>
      </c>
      <c r="D182">
        <f>VLOOKUP(A182,Tabla1[],4,FALSE)</f>
        <v>1.9359999999999999</v>
      </c>
      <c r="E182">
        <f>VLOOKUP(A182,Tabla2[],2,FALSE)</f>
        <v>1.48</v>
      </c>
      <c r="F182">
        <f>VLOOKUP(A182,Tabla2[],3,FALSE)</f>
        <v>4.0750000000000002</v>
      </c>
      <c r="G182" t="str">
        <f>VLOOKUP(A182,Tabla4[],3,FALSE)</f>
        <v>6.350,2</v>
      </c>
      <c r="H182">
        <f>VLOOKUP(A182,Tabla3[],3,FALSE)</f>
        <v>42.146000000000001</v>
      </c>
      <c r="I182" t="str">
        <f>VLOOKUP(A182,Tabla16[],2,FALSE)</f>
        <v>2,93</v>
      </c>
      <c r="J182">
        <f>VLOOKUP(A182,Tabla17[],3,FALSE)</f>
        <v>0.16900000000000001</v>
      </c>
      <c r="K182">
        <f>VLOOKUP(A182,Tabla17[],4,FALSE)</f>
        <v>0.24299999999999999</v>
      </c>
      <c r="L182">
        <f>VLOOKUP(A182,Tabla17[],5,FALSE)</f>
        <v>0.58799999999999997</v>
      </c>
      <c r="M182">
        <f>VLOOKUP(A182,Tabla17[],6,FALSE)</f>
        <v>9261</v>
      </c>
      <c r="N182" t="str">
        <f>VLOOKUP(A182,Tabla17[],7,FALSE)</f>
        <v>13 316</v>
      </c>
      <c r="O182" t="str">
        <f>VLOOKUP(A182,Tabla17[],8,FALSE)</f>
        <v>32 222</v>
      </c>
      <c r="P182" t="e">
        <f>VLOOKUP(A182,Tabla110[],2,FALSE)</f>
        <v>#N/A</v>
      </c>
      <c r="Q182" t="e">
        <f>VLOOKUP(A182,Tabla110[],3,FALSE)</f>
        <v>#N/A</v>
      </c>
      <c r="R182">
        <f>VLOOKUP(A182,Tabla29[],2,FALSE)</f>
        <v>686</v>
      </c>
      <c r="S182">
        <f>VLOOKUP(A182,Tabla29[],3,FALSE)</f>
        <v>40</v>
      </c>
      <c r="T182">
        <f>VLOOKUP(A182,Tabla18[],3,FALSE)</f>
        <v>53.2</v>
      </c>
    </row>
    <row r="183" spans="1:20" x14ac:dyDescent="0.25">
      <c r="A183" s="2" t="s">
        <v>64</v>
      </c>
      <c r="B183" t="str">
        <f>VLOOKUP(A183,Tabla1[],2,FALSE)</f>
        <v>99.953.000.000</v>
      </c>
      <c r="C183" t="str">
        <f>VLOOKUP(A183,Tabla1[],3,FALSE)</f>
        <v>2,03%</v>
      </c>
      <c r="D183">
        <f>VLOOKUP(A183,Tabla1[],4,FALSE)</f>
        <v>15.284000000000001</v>
      </c>
      <c r="E183">
        <f>VLOOKUP(A183,Tabla2[],2,FALSE)</f>
        <v>15.65</v>
      </c>
      <c r="F183">
        <f>VLOOKUP(A183,Tabla2[],3,FALSE)</f>
        <v>12.622999999999999</v>
      </c>
      <c r="G183">
        <f>VLOOKUP(A183,Tabla4[],3,FALSE)</f>
        <v>0</v>
      </c>
      <c r="H183">
        <f>VLOOKUP(A183,Tabla3[],3,FALSE)</f>
        <v>39.619</v>
      </c>
      <c r="I183" t="str">
        <f>VLOOKUP(A183,Tabla16[],2,FALSE)</f>
        <v>8,68</v>
      </c>
      <c r="J183">
        <f>VLOOKUP(A183,Tabla17[],3,FALSE)</f>
        <v>9.8000000000000004E-2</v>
      </c>
      <c r="K183">
        <f>VLOOKUP(A183,Tabla17[],4,FALSE)</f>
        <v>0.41099999999999998</v>
      </c>
      <c r="L183">
        <f>VLOOKUP(A183,Tabla17[],5,FALSE)</f>
        <v>0.49099999999999999</v>
      </c>
      <c r="M183" t="str">
        <f>VLOOKUP(A183,Tabla17[],6,FALSE)</f>
        <v>10 359</v>
      </c>
      <c r="N183" t="str">
        <f>VLOOKUP(A183,Tabla17[],7,FALSE)</f>
        <v>43 443</v>
      </c>
      <c r="O183" t="str">
        <f>VLOOKUP(A183,Tabla17[],8,FALSE)</f>
        <v>51 899</v>
      </c>
      <c r="P183" t="str">
        <f>VLOOKUP(A183,Tabla110[],2,FALSE)</f>
        <v> DINAR DE SERBIA</v>
      </c>
      <c r="Q183" t="str">
        <f>VLOOKUP(A183,Tabla110[],3,FALSE)</f>
        <v>112,38</v>
      </c>
      <c r="R183">
        <f>VLOOKUP(A183,Tabla29[],2,FALSE)</f>
        <v>3.61</v>
      </c>
      <c r="S183">
        <f>VLOOKUP(A183,Tabla29[],3,FALSE)</f>
        <v>40</v>
      </c>
      <c r="T183">
        <f>VLOOKUP(A183,Tabla18[],3,FALSE)</f>
        <v>65</v>
      </c>
    </row>
    <row r="184" spans="1:20" x14ac:dyDescent="0.25">
      <c r="A184" s="2" t="s">
        <v>178</v>
      </c>
      <c r="B184" t="str">
        <f>VLOOKUP(A184,Tabla1[],2,FALSE)</f>
        <v>2.318.000.000</v>
      </c>
      <c r="C184" t="str">
        <f>VLOOKUP(A184,Tabla1[],3,FALSE)</f>
        <v>5,09%</v>
      </c>
      <c r="D184">
        <f>VLOOKUP(A184,Tabla1[],4,FALSE)</f>
        <v>18.478999999999999</v>
      </c>
      <c r="E184">
        <f>VLOOKUP(A184,Tabla2[],2,FALSE)</f>
        <v>1.833</v>
      </c>
      <c r="F184">
        <f>VLOOKUP(A184,Tabla2[],3,FALSE)</f>
        <v>1.01</v>
      </c>
      <c r="G184" t="str">
        <f>VLOOKUP(A184,Tabla4[],3,FALSE)</f>
        <v>671,1</v>
      </c>
      <c r="H184">
        <f>VLOOKUP(A184,Tabla3[],3,FALSE)</f>
        <v>1.2549999999999999</v>
      </c>
      <c r="I184" t="e">
        <f>VLOOKUP(A184,Tabla16[],2,FALSE)</f>
        <v>#N/A</v>
      </c>
      <c r="J184">
        <f>VLOOKUP(A184,Tabla17[],3,FALSE)</f>
        <v>2.5000000000000001E-2</v>
      </c>
      <c r="K184">
        <f>VLOOKUP(A184,Tabla17[],4,FALSE)</f>
        <v>0.13800000000000001</v>
      </c>
      <c r="L184">
        <f>VLOOKUP(A184,Tabla17[],5,FALSE)</f>
        <v>0.83699999999999997</v>
      </c>
      <c r="M184">
        <f>VLOOKUP(A184,Tabla17[],6,FALSE)</f>
        <v>69</v>
      </c>
      <c r="N184">
        <f>VLOOKUP(A184,Tabla17[],7,FALSE)</f>
        <v>380</v>
      </c>
      <c r="O184">
        <f>VLOOKUP(A184,Tabla17[],8,FALSE)</f>
        <v>2302</v>
      </c>
      <c r="P184" t="str">
        <f>VLOOKUP(A184,Tabla110[],2,FALSE)</f>
        <v> RUPIA DE SEYCHELLES</v>
      </c>
      <c r="Q184">
        <f>VLOOKUP(A184,Tabla110[],3,FALSE)</f>
        <v>142845</v>
      </c>
      <c r="R184">
        <f>VLOOKUP(A184,Tabla29[],2,FALSE)</f>
        <v>3.282</v>
      </c>
      <c r="S184">
        <f>VLOOKUP(A184,Tabla29[],3,FALSE)</f>
        <v>40</v>
      </c>
      <c r="T184">
        <f>VLOOKUP(A184,Tabla18[],3,FALSE)</f>
        <v>66.5</v>
      </c>
    </row>
    <row r="185" spans="1:20" x14ac:dyDescent="0.25">
      <c r="A185" s="1" t="s">
        <v>153</v>
      </c>
      <c r="B185" t="str">
        <f>VLOOKUP(A185,Tabla1[],2,FALSE)</f>
        <v>7.710.000.000</v>
      </c>
      <c r="C185" t="str">
        <f>VLOOKUP(A185,Tabla1[],3,FALSE)</f>
        <v>4,38%</v>
      </c>
      <c r="D185">
        <f>VLOOKUP(A185,Tabla1[],4,FALSE)</f>
        <v>874</v>
      </c>
      <c r="E185">
        <f>VLOOKUP(A185,Tabla2[],2,FALSE)</f>
        <v>43</v>
      </c>
      <c r="F185">
        <f>VLOOKUP(A185,Tabla2[],3,FALSE)</f>
        <v>348</v>
      </c>
      <c r="G185" t="str">
        <f>VLOOKUP(A185,Tabla4[],3,FALSE)</f>
        <v>563,3</v>
      </c>
      <c r="H185">
        <f>VLOOKUP(A185,Tabla3[],3,FALSE)</f>
        <v>3.2530000000000001</v>
      </c>
      <c r="I185">
        <f>VLOOKUP(A185,Tabla16[],2,FALSE)</f>
        <v>3.17</v>
      </c>
      <c r="J185">
        <f>VLOOKUP(A185,Tabla17[],3,FALSE)</f>
        <v>0.60699999999999998</v>
      </c>
      <c r="K185">
        <f>VLOOKUP(A185,Tabla17[],4,FALSE)</f>
        <v>6.5000000000000002E-2</v>
      </c>
      <c r="L185">
        <f>VLOOKUP(A185,Tabla17[],5,FALSE)</f>
        <v>0.32900000000000001</v>
      </c>
      <c r="M185">
        <f>VLOOKUP(A185,Tabla17[],6,FALSE)</f>
        <v>7011</v>
      </c>
      <c r="N185">
        <f>VLOOKUP(A185,Tabla17[],7,FALSE)</f>
        <v>751</v>
      </c>
      <c r="O185">
        <f>VLOOKUP(A185,Tabla17[],8,FALSE)</f>
        <v>3800</v>
      </c>
      <c r="P185" t="str">
        <f>VLOOKUP(A185,Tabla110[],2,FALSE)</f>
        <v> LEONE DE SIERRA LEONA</v>
      </c>
      <c r="Q185">
        <f>VLOOKUP(A185,Tabla110[],3,FALSE)</f>
        <v>22683</v>
      </c>
      <c r="R185">
        <f>VLOOKUP(A185,Tabla29[],2,FALSE)</f>
        <v>575</v>
      </c>
      <c r="S185">
        <f>VLOOKUP(A185,Tabla29[],3,FALSE)</f>
        <v>40</v>
      </c>
      <c r="T185">
        <f>VLOOKUP(A185,Tabla18[],3,FALSE)</f>
        <v>49.6</v>
      </c>
    </row>
    <row r="186" spans="1:20" x14ac:dyDescent="0.25">
      <c r="A186" s="1" t="s">
        <v>175</v>
      </c>
      <c r="B186" t="str">
        <f>VLOOKUP(A186,Tabla1[],2,FALSE)</f>
        <v>603.870.000.000</v>
      </c>
      <c r="C186" t="str">
        <f>VLOOKUP(A186,Tabla1[],3,FALSE)</f>
        <v>5,02%</v>
      </c>
      <c r="D186">
        <f>VLOOKUP(A186,Tabla1[],4,FALSE)</f>
        <v>99.364999999999995</v>
      </c>
      <c r="E186">
        <f>VLOOKUP(A186,Tabla2[],2,FALSE)</f>
        <v>395.56599999999997</v>
      </c>
      <c r="F186">
        <f>VLOOKUP(A186,Tabla2[],3,FALSE)</f>
        <v>351.12200000000001</v>
      </c>
      <c r="G186" t="str">
        <f>VLOOKUP(A186,Tabla4[],3,FALSE)</f>
        <v>70.249,4</v>
      </c>
      <c r="H186">
        <f>VLOOKUP(A186,Tabla3[],3,FALSE)</f>
        <v>968.87900000000002</v>
      </c>
      <c r="I186">
        <f>VLOOKUP(A186,Tabla16[],2,FALSE)</f>
        <v>3.47</v>
      </c>
      <c r="J186">
        <f>VLOOKUP(A186,Tabla17[],3,FALSE)</f>
        <v>0</v>
      </c>
      <c r="K186">
        <f>VLOOKUP(A186,Tabla17[],4,FALSE)</f>
        <v>0.248</v>
      </c>
      <c r="L186">
        <f>VLOOKUP(A186,Tabla17[],5,FALSE)</f>
        <v>0.752</v>
      </c>
      <c r="M186">
        <f>VLOOKUP(A186,Tabla17[],6,FALSE)</f>
        <v>0</v>
      </c>
      <c r="N186" t="str">
        <f>VLOOKUP(A186,Tabla17[],7,FALSE)</f>
        <v>130 969</v>
      </c>
      <c r="O186" t="str">
        <f>VLOOKUP(A186,Tabla17[],8,FALSE)</f>
        <v>397 131</v>
      </c>
      <c r="P186" t="str">
        <f>VLOOKUP(A186,Tabla110[],2,FALSE)</f>
        <v> DÓLAR DE SINGAPUR</v>
      </c>
      <c r="Q186">
        <f>VLOOKUP(A186,Tabla110[],3,FALSE)</f>
        <v>13587</v>
      </c>
      <c r="R186">
        <f>VLOOKUP(A186,Tabla29[],2,FALSE)</f>
        <v>0</v>
      </c>
      <c r="S186">
        <f>VLOOKUP(A186,Tabla29[],3,FALSE)</f>
        <v>44</v>
      </c>
      <c r="T186">
        <f>VLOOKUP(A186,Tabla18[],3,FALSE)</f>
        <v>84.4</v>
      </c>
    </row>
    <row r="187" spans="1:20" x14ac:dyDescent="0.25">
      <c r="A187" s="2" t="s">
        <v>126</v>
      </c>
      <c r="B187" t="str">
        <f>VLOOKUP(A187,Tabla1[],2,FALSE)</f>
        <v>1.735.210.228</v>
      </c>
      <c r="C187" t="str">
        <f>VLOOKUP(A187,Tabla1[],3,FALSE)</f>
        <v>3,50%</v>
      </c>
      <c r="D187">
        <f>VLOOKUP(A187,Tabla1[],4,FALSE)</f>
        <v>40.027999999999999</v>
      </c>
      <c r="E187" t="e">
        <f>VLOOKUP(A187,Tabla2[],2,FALSE)</f>
        <v>#N/A</v>
      </c>
      <c r="F187" t="e">
        <f>VLOOKUP(A187,Tabla2[],3,FALSE)</f>
        <v>#N/A</v>
      </c>
      <c r="G187" t="e">
        <f>VLOOKUP(A187,Tabla4[],3,FALSE)</f>
        <v>#N/A</v>
      </c>
      <c r="H187" t="e">
        <f>VLOOKUP(A187,Tabla3[],3,FALSE)</f>
        <v>#N/A</v>
      </c>
      <c r="I187" t="e">
        <f>VLOOKUP(A187,Tabla16[],2,FALSE)</f>
        <v>#N/A</v>
      </c>
      <c r="J187" t="e">
        <f>VLOOKUP(A187,Tabla17[],3,FALSE)</f>
        <v>#N/A</v>
      </c>
      <c r="K187" t="e">
        <f>VLOOKUP(A187,Tabla17[],4,FALSE)</f>
        <v>#N/A</v>
      </c>
      <c r="L187" t="e">
        <f>VLOOKUP(A187,Tabla17[],5,FALSE)</f>
        <v>#N/A</v>
      </c>
      <c r="M187" t="e">
        <f>VLOOKUP(A187,Tabla17[],6,FALSE)</f>
        <v>#N/A</v>
      </c>
      <c r="N187" t="e">
        <f>VLOOKUP(A187,Tabla17[],7,FALSE)</f>
        <v>#N/A</v>
      </c>
      <c r="O187" t="e">
        <f>VLOOKUP(A187,Tabla17[],8,FALSE)</f>
        <v>#N/A</v>
      </c>
      <c r="P187" t="e">
        <f>VLOOKUP(A187,Tabla110[],2,FALSE)</f>
        <v>#N/A</v>
      </c>
      <c r="Q187" t="e">
        <f>VLOOKUP(A187,Tabla110[],3,FALSE)</f>
        <v>#N/A</v>
      </c>
      <c r="R187" t="e">
        <f>VLOOKUP(A187,Tabla29[],2,FALSE)</f>
        <v>#N/A</v>
      </c>
      <c r="S187" t="e">
        <f>VLOOKUP(A187,Tabla29[],3,FALSE)</f>
        <v>#N/A</v>
      </c>
      <c r="T187" t="e">
        <f>VLOOKUP(A187,Tabla18[],3,FALSE)</f>
        <v>#N/A</v>
      </c>
    </row>
    <row r="188" spans="1:20" x14ac:dyDescent="0.25">
      <c r="A188" s="1" t="s">
        <v>33</v>
      </c>
      <c r="B188" t="str">
        <f>VLOOKUP(A188,Tabla1[],2,FALSE)</f>
        <v>19.993.439.950</v>
      </c>
      <c r="C188" t="str">
        <f>VLOOKUP(A188,Tabla1[],3,FALSE)</f>
        <v>−1,21%</v>
      </c>
      <c r="D188">
        <f>VLOOKUP(A188,Tabla1[],4,FALSE)</f>
        <v>847</v>
      </c>
      <c r="E188">
        <f>VLOOKUP(A188,Tabla2[],2,FALSE)</f>
        <v>7.3330000000000002</v>
      </c>
      <c r="F188">
        <f>VLOOKUP(A188,Tabla2[],3,FALSE)</f>
        <v>3.5329999999999999</v>
      </c>
      <c r="G188" t="e">
        <f>VLOOKUP(A188,Tabla4[],3,FALSE)</f>
        <v>#N/A</v>
      </c>
      <c r="H188">
        <f>VLOOKUP(A188,Tabla3[],3,FALSE)</f>
        <v>16.835000000000001</v>
      </c>
      <c r="I188" t="str">
        <f>VLOOKUP(A188,Tabla16[],2,FALSE)</f>
        <v>13,54</v>
      </c>
      <c r="J188">
        <f>VLOOKUP(A188,Tabla17[],3,FALSE)</f>
        <v>0.2</v>
      </c>
      <c r="K188">
        <f>VLOOKUP(A188,Tabla17[],4,FALSE)</f>
        <v>0.19500000000000001</v>
      </c>
      <c r="L188">
        <f>VLOOKUP(A188,Tabla17[],5,FALSE)</f>
        <v>0.60799999999999998</v>
      </c>
      <c r="M188" t="str">
        <f>VLOOKUP(A188,Tabla17[],6,FALSE)</f>
        <v>10 056</v>
      </c>
      <c r="N188">
        <f>VLOOKUP(A188,Tabla17[],7,FALSE)</f>
        <v>9805</v>
      </c>
      <c r="O188" t="str">
        <f>VLOOKUP(A188,Tabla17[],8,FALSE)</f>
        <v>30 570</v>
      </c>
      <c r="P188" t="str">
        <f>VLOOKUP(A188,Tabla110[],2,FALSE)</f>
        <v> LIBRA SIRIA</v>
      </c>
      <c r="Q188">
        <f>VLOOKUP(A188,Tabla110[],3,FALSE)</f>
        <v>13000</v>
      </c>
      <c r="R188">
        <f>VLOOKUP(A188,Tabla29[],2,FALSE)</f>
        <v>96</v>
      </c>
      <c r="S188">
        <f>VLOOKUP(A188,Tabla29[],3,FALSE)</f>
        <v>40</v>
      </c>
      <c r="T188" t="e">
        <f>VLOOKUP(A188,Tabla18[],3,FALSE)</f>
        <v>#N/A</v>
      </c>
    </row>
    <row r="189" spans="1:20" x14ac:dyDescent="0.25">
      <c r="A189" s="1" t="s">
        <v>107</v>
      </c>
      <c r="B189" t="str">
        <f>VLOOKUP(A189,Tabla1[],2,FALSE)</f>
        <v>12.956.000.000</v>
      </c>
      <c r="C189" t="str">
        <f>VLOOKUP(A189,Tabla1[],3,FALSE)</f>
        <v>3,00%</v>
      </c>
      <c r="D189">
        <f>VLOOKUP(A189,Tabla1[],4,FALSE)</f>
        <v>764</v>
      </c>
      <c r="E189" t="e">
        <f>VLOOKUP(A189,Tabla2[],2,FALSE)</f>
        <v>#N/A</v>
      </c>
      <c r="F189" t="e">
        <f>VLOOKUP(A189,Tabla2[],3,FALSE)</f>
        <v>#N/A</v>
      </c>
      <c r="G189" t="str">
        <f>VLOOKUP(A189,Tabla4[],3,FALSE)</f>
        <v>377,4</v>
      </c>
      <c r="H189" t="e">
        <f>VLOOKUP(A189,Tabla3[],3,FALSE)</f>
        <v>#N/A</v>
      </c>
      <c r="I189">
        <f>VLOOKUP(A189,Tabla16[],2,FALSE)</f>
        <v>19.03</v>
      </c>
      <c r="J189">
        <f>VLOOKUP(A189,Tabla17[],3,FALSE)</f>
        <v>0.60199999999999998</v>
      </c>
      <c r="K189">
        <f>VLOOKUP(A189,Tabla17[],4,FALSE)</f>
        <v>7.3999999999999996E-2</v>
      </c>
      <c r="L189">
        <f>VLOOKUP(A189,Tabla17[],5,FALSE)</f>
        <v>0.32500000000000001</v>
      </c>
      <c r="M189" t="str">
        <f>VLOOKUP(A189,Tabla17[],6,FALSE)</f>
        <v>12 305</v>
      </c>
      <c r="N189">
        <f>VLOOKUP(A189,Tabla17[],7,FALSE)</f>
        <v>1513</v>
      </c>
      <c r="O189">
        <f>VLOOKUP(A189,Tabla17[],8,FALSE)</f>
        <v>6643</v>
      </c>
      <c r="P189" t="str">
        <f>VLOOKUP(A189,Tabla110[],2,FALSE)</f>
        <v> CHELÍN SOMALÍ</v>
      </c>
      <c r="Q189">
        <f>VLOOKUP(A189,Tabla110[],3,FALSE)</f>
        <v>568</v>
      </c>
      <c r="R189">
        <f>VLOOKUP(A189,Tabla29[],2,FALSE)</f>
        <v>0</v>
      </c>
      <c r="S189">
        <f>VLOOKUP(A189,Tabla29[],3,FALSE)</f>
        <v>48</v>
      </c>
      <c r="T189" t="e">
        <f>VLOOKUP(A189,Tabla18[],3,FALSE)</f>
        <v>#N/A</v>
      </c>
    </row>
    <row r="190" spans="1:20" x14ac:dyDescent="0.25">
      <c r="A190" s="2" t="s">
        <v>174</v>
      </c>
      <c r="B190" t="str">
        <f>VLOOKUP(A190,Tabla1[],2,FALSE)</f>
        <v>98.964.000.000</v>
      </c>
      <c r="C190" t="str">
        <f>VLOOKUP(A190,Tabla1[],3,FALSE)</f>
        <v>5,01%</v>
      </c>
      <c r="D190">
        <f>VLOOKUP(A190,Tabla1[],4,FALSE)</f>
        <v>4.516</v>
      </c>
      <c r="E190">
        <f>VLOOKUP(A190,Tabla2[],2,FALSE)</f>
        <v>5.4160000000000004</v>
      </c>
      <c r="F190">
        <f>VLOOKUP(A190,Tabla2[],3,FALSE)</f>
        <v>2.012</v>
      </c>
      <c r="G190" t="str">
        <f>VLOOKUP(A190,Tabla4[],3,FALSE)</f>
        <v>8.417,6</v>
      </c>
      <c r="H190">
        <f>VLOOKUP(A190,Tabla3[],3,FALSE)</f>
        <v>99.795000000000002</v>
      </c>
      <c r="I190">
        <f>VLOOKUP(A190,Tabla16[],2,FALSE)</f>
        <v>6.36</v>
      </c>
      <c r="J190">
        <f>VLOOKUP(A190,Tabla17[],3,FALSE)</f>
        <v>7.8E-2</v>
      </c>
      <c r="K190">
        <f>VLOOKUP(A190,Tabla17[],4,FALSE)</f>
        <v>0.30499999999999999</v>
      </c>
      <c r="L190">
        <f>VLOOKUP(A190,Tabla17[],5,FALSE)</f>
        <v>0.61699999999999999</v>
      </c>
      <c r="M190" t="str">
        <f>VLOOKUP(A190,Tabla17[],6,FALSE)</f>
        <v>21 512</v>
      </c>
      <c r="N190" t="str">
        <f>VLOOKUP(A190,Tabla17[],7,FALSE)</f>
        <v>84 119</v>
      </c>
      <c r="O190" t="str">
        <f>VLOOKUP(A190,Tabla17[],8,FALSE)</f>
        <v>170 169</v>
      </c>
      <c r="P190" t="str">
        <f>VLOOKUP(A190,Tabla110[],2,FALSE)</f>
        <v> RUPIA DE SRI LANKA</v>
      </c>
      <c r="Q190" t="str">
        <f>VLOOKUP(A190,Tabla110[],3,FALSE)</f>
        <v>293,9</v>
      </c>
      <c r="R190">
        <f>VLOOKUP(A190,Tabla29[],2,FALSE)</f>
        <v>1.629</v>
      </c>
      <c r="S190">
        <f>VLOOKUP(A190,Tabla29[],3,FALSE)</f>
        <v>48</v>
      </c>
      <c r="T190">
        <f>VLOOKUP(A190,Tabla18[],3,FALSE)</f>
        <v>50.3</v>
      </c>
    </row>
    <row r="191" spans="1:20" x14ac:dyDescent="0.25">
      <c r="A191" s="2" t="s">
        <v>30</v>
      </c>
      <c r="B191" t="str">
        <f>VLOOKUP(A191,Tabla1[],2,FALSE)</f>
        <v>427.141.000.000</v>
      </c>
      <c r="C191" t="str">
        <f>VLOOKUP(A191,Tabla1[],3,FALSE)</f>
        <v>1,11%</v>
      </c>
      <c r="D191">
        <f>VLOOKUP(A191,Tabla1[],4,FALSE)</f>
        <v>6.7690000000000001</v>
      </c>
      <c r="E191">
        <f>VLOOKUP(A191,Tabla2[],2,FALSE)</f>
        <v>15.939</v>
      </c>
      <c r="F191">
        <f>VLOOKUP(A191,Tabla2[],3,FALSE)</f>
        <v>19.760999999999999</v>
      </c>
      <c r="G191" t="str">
        <f>VLOOKUP(A191,Tabla4[],3,FALSE)</f>
        <v>100.948,6</v>
      </c>
      <c r="H191">
        <f>VLOOKUP(A191,Tabla3[],3,FALSE)</f>
        <v>305.56900000000002</v>
      </c>
      <c r="I191" t="str">
        <f>VLOOKUP(A191,Tabla16[],2,FALSE)</f>
        <v>27,99</v>
      </c>
      <c r="J191">
        <f>VLOOKUP(A191,Tabla17[],3,FALSE)</f>
        <v>2.8000000000000001E-2</v>
      </c>
      <c r="K191">
        <f>VLOOKUP(A191,Tabla17[],4,FALSE)</f>
        <v>0.29699999999999999</v>
      </c>
      <c r="L191">
        <f>VLOOKUP(A191,Tabla17[],5,FALSE)</f>
        <v>0.67500000000000004</v>
      </c>
      <c r="M191" t="str">
        <f>VLOOKUP(A191,Tabla17[],6,FALSE)</f>
        <v>21 482</v>
      </c>
      <c r="N191" t="str">
        <f>VLOOKUP(A191,Tabla17[],7,FALSE)</f>
        <v>227 858</v>
      </c>
      <c r="O191" t="str">
        <f>VLOOKUP(A191,Tabla17[],8,FALSE)</f>
        <v>517 860</v>
      </c>
      <c r="P191" t="e">
        <f>VLOOKUP(A191,Tabla110[],2,FALSE)</f>
        <v>#N/A</v>
      </c>
      <c r="Q191" t="e">
        <f>VLOOKUP(A191,Tabla110[],3,FALSE)</f>
        <v>#N/A</v>
      </c>
      <c r="R191">
        <f>VLOOKUP(A191,Tabla29[],2,FALSE)</f>
        <v>3.6709999999999998</v>
      </c>
      <c r="S191">
        <f>VLOOKUP(A191,Tabla29[],3,FALSE)</f>
        <v>45</v>
      </c>
      <c r="T191">
        <f>VLOOKUP(A191,Tabla18[],3,FALSE)</f>
        <v>58.6</v>
      </c>
    </row>
    <row r="192" spans="1:20" x14ac:dyDescent="0.25">
      <c r="A192" s="1" t="s">
        <v>119</v>
      </c>
      <c r="B192" t="str">
        <f>VLOOKUP(A192,Tabla1[],2,FALSE)</f>
        <v>39.718.000.000</v>
      </c>
      <c r="C192" t="str">
        <f>VLOOKUP(A192,Tabla1[],3,FALSE)</f>
        <v>3,23%</v>
      </c>
      <c r="D192">
        <f>VLOOKUP(A192,Tabla1[],4,FALSE)</f>
        <v>788</v>
      </c>
      <c r="E192">
        <f>VLOOKUP(A192,Tabla2[],2,FALSE)</f>
        <v>1.5509999999999999</v>
      </c>
      <c r="F192">
        <f>VLOOKUP(A192,Tabla2[],3,FALSE)</f>
        <v>1.59</v>
      </c>
      <c r="G192" t="e">
        <f>VLOOKUP(A192,Tabla4[],3,FALSE)</f>
        <v>#N/A</v>
      </c>
      <c r="H192">
        <f>VLOOKUP(A192,Tabla3[],3,FALSE)</f>
        <v>66.641000000000005</v>
      </c>
      <c r="I192">
        <f>VLOOKUP(A192,Tabla16[],2,FALSE)</f>
        <v>11.45</v>
      </c>
      <c r="J192">
        <f>VLOOKUP(A192,Tabla17[],3,FALSE)</f>
        <v>0.39600000000000002</v>
      </c>
      <c r="K192">
        <f>VLOOKUP(A192,Tabla17[],4,FALSE)</f>
        <v>2.5999999999999999E-2</v>
      </c>
      <c r="L192">
        <f>VLOOKUP(A192,Tabla17[],5,FALSE)</f>
        <v>0.57799999999999996</v>
      </c>
      <c r="M192" t="str">
        <f>VLOOKUP(A192,Tabla17[],6,FALSE)</f>
        <v>70 250</v>
      </c>
      <c r="N192">
        <f>VLOOKUP(A192,Tabla17[],7,FALSE)</f>
        <v>4612</v>
      </c>
      <c r="O192" t="str">
        <f>VLOOKUP(A192,Tabla17[],8,FALSE)</f>
        <v>102 537</v>
      </c>
      <c r="P192" t="e">
        <f>VLOOKUP(A192,Tabla110[],2,FALSE)</f>
        <v>#N/A</v>
      </c>
      <c r="Q192" t="e">
        <f>VLOOKUP(A192,Tabla110[],3,FALSE)</f>
        <v>#N/A</v>
      </c>
      <c r="R192">
        <f>VLOOKUP(A192,Tabla29[],2,FALSE)</f>
        <v>13</v>
      </c>
      <c r="S192">
        <f>VLOOKUP(A192,Tabla29[],3,FALSE)</f>
        <v>40</v>
      </c>
      <c r="T192">
        <f>VLOOKUP(A192,Tabla18[],3,FALSE)</f>
        <v>32.5</v>
      </c>
    </row>
    <row r="193" spans="1:20" x14ac:dyDescent="0.25">
      <c r="A193" s="1" t="s">
        <v>171</v>
      </c>
      <c r="B193" t="str">
        <f>VLOOKUP(A193,Tabla1[],2,FALSE)</f>
        <v>5.733.000.000</v>
      </c>
      <c r="C193" t="str">
        <f>VLOOKUP(A193,Tabla1[],3,FALSE)</f>
        <v>46,09%</v>
      </c>
      <c r="D193">
        <f>VLOOKUP(A193,Tabla1[],4,FALSE)</f>
        <v>470</v>
      </c>
      <c r="E193">
        <f>VLOOKUP(A193,Tabla2[],2,FALSE)</f>
        <v>484</v>
      </c>
      <c r="F193">
        <f>VLOOKUP(A193,Tabla2[],3,FALSE)</f>
        <v>2.1920000000000002</v>
      </c>
      <c r="G193" t="e">
        <f>VLOOKUP(A193,Tabla4[],3,FALSE)</f>
        <v>#N/A</v>
      </c>
      <c r="H193">
        <f>VLOOKUP(A193,Tabla3[],3,FALSE)</f>
        <v>2.355</v>
      </c>
      <c r="I193">
        <f>VLOOKUP(A193,Tabla16[],2,FALSE)</f>
        <v>12.27</v>
      </c>
      <c r="J193" t="e">
        <f>VLOOKUP(A193,Tabla17[],3,FALSE)</f>
        <v>#N/A</v>
      </c>
      <c r="K193" t="e">
        <f>VLOOKUP(A193,Tabla17[],4,FALSE)</f>
        <v>#N/A</v>
      </c>
      <c r="L193" t="e">
        <f>VLOOKUP(A193,Tabla17[],5,FALSE)</f>
        <v>#N/A</v>
      </c>
      <c r="M193" t="e">
        <f>VLOOKUP(A193,Tabla17[],6,FALSE)</f>
        <v>#N/A</v>
      </c>
      <c r="N193" t="e">
        <f>VLOOKUP(A193,Tabla17[],7,FALSE)</f>
        <v>#N/A</v>
      </c>
      <c r="O193" t="e">
        <f>VLOOKUP(A193,Tabla17[],8,FALSE)</f>
        <v>#N/A</v>
      </c>
      <c r="P193" t="e">
        <f>VLOOKUP(A193,Tabla110[],2,FALSE)</f>
        <v>#N/A</v>
      </c>
      <c r="Q193" t="e">
        <f>VLOOKUP(A193,Tabla110[],3,FALSE)</f>
        <v>#N/A</v>
      </c>
      <c r="R193">
        <f>VLOOKUP(A193,Tabla29[],2,FALSE)</f>
        <v>0</v>
      </c>
      <c r="S193">
        <f>VLOOKUP(A193,Tabla29[],3,FALSE)</f>
        <v>0</v>
      </c>
      <c r="T193" t="e">
        <f>VLOOKUP(A193,Tabla18[],3,FALSE)</f>
        <v>#N/A</v>
      </c>
    </row>
    <row r="194" spans="1:20" x14ac:dyDescent="0.25">
      <c r="A194" s="2" t="s">
        <v>46</v>
      </c>
      <c r="B194" t="str">
        <f>VLOOKUP(A194,Tabla1[],2,FALSE)</f>
        <v>668.999.000.000</v>
      </c>
      <c r="C194" t="str">
        <f>VLOOKUP(A194,Tabla1[],3,FALSE)</f>
        <v>1,54%</v>
      </c>
      <c r="D194">
        <f>VLOOKUP(A194,Tabla1[],4,FALSE)</f>
        <v>62.661999999999999</v>
      </c>
      <c r="E194">
        <f>VLOOKUP(A194,Tabla2[],2,FALSE)</f>
        <v>116.828</v>
      </c>
      <c r="F194">
        <f>VLOOKUP(A194,Tabla2[],3,FALSE)</f>
        <v>124.965</v>
      </c>
      <c r="G194" t="str">
        <f>VLOOKUP(A194,Tabla4[],3,FALSE)</f>
        <v>250.166,9</v>
      </c>
      <c r="H194">
        <f>VLOOKUP(A194,Tabla3[],3,FALSE)</f>
        <v>199.15799999999999</v>
      </c>
      <c r="I194" t="str">
        <f>VLOOKUP(A194,Tabla16[],2,FALSE)</f>
        <v>7,59</v>
      </c>
      <c r="J194">
        <f>VLOOKUP(A194,Tabla17[],3,FALSE)</f>
        <v>1.6E-2</v>
      </c>
      <c r="K194">
        <f>VLOOKUP(A194,Tabla17[],4,FALSE)</f>
        <v>0.33</v>
      </c>
      <c r="L194">
        <f>VLOOKUP(A194,Tabla17[],5,FALSE)</f>
        <v>0.65400000000000003</v>
      </c>
      <c r="M194">
        <f>VLOOKUP(A194,Tabla17[],6,FALSE)</f>
        <v>8288</v>
      </c>
      <c r="N194" t="str">
        <f>VLOOKUP(A194,Tabla17[],7,FALSE)</f>
        <v>170 940</v>
      </c>
      <c r="O194" t="str">
        <f>VLOOKUP(A194,Tabla17[],8,FALSE)</f>
        <v>338 772</v>
      </c>
      <c r="P194" t="str">
        <f>VLOOKUP(A194,Tabla110[],2,FALSE)</f>
        <v> CORONA SUECA</v>
      </c>
      <c r="Q194">
        <f>VLOOKUP(A194,Tabla110[],3,FALSE)</f>
        <v>11072</v>
      </c>
      <c r="R194">
        <f>VLOOKUP(A194,Tabla29[],2,FALSE)</f>
        <v>0</v>
      </c>
      <c r="S194">
        <f>VLOOKUP(A194,Tabla29[],3,FALSE)</f>
        <v>40</v>
      </c>
      <c r="T194">
        <f>VLOOKUP(A194,Tabla18[],3,FALSE)</f>
        <v>77.8</v>
      </c>
    </row>
    <row r="195" spans="1:20" x14ac:dyDescent="0.25">
      <c r="A195" s="1" t="s">
        <v>35</v>
      </c>
      <c r="B195" t="str">
        <f>VLOOKUP(A195,Tabla1[],2,FALSE)</f>
        <v>1.043.544.000.000</v>
      </c>
      <c r="C195" t="str">
        <f>VLOOKUP(A195,Tabla1[],3,FALSE)</f>
        <v>1,27%</v>
      </c>
      <c r="D195">
        <f>VLOOKUP(A195,Tabla1[],4,FALSE)</f>
        <v>115.62</v>
      </c>
      <c r="E195">
        <f>VLOOKUP(A195,Tabla2[],2,FALSE)</f>
        <v>179.83500000000001</v>
      </c>
      <c r="F195">
        <f>VLOOKUP(A195,Tabla2[],3,FALSE)</f>
        <v>214.61699999999999</v>
      </c>
      <c r="G195" t="str">
        <f>VLOOKUP(A195,Tabla4[],3,FALSE)</f>
        <v>254.455,5</v>
      </c>
      <c r="H195">
        <f>VLOOKUP(A195,Tabla3[],3,FALSE)</f>
        <v>352.00599999999997</v>
      </c>
      <c r="I195">
        <f>VLOOKUP(A195,Tabla16[],2,FALSE)</f>
        <v>4.05</v>
      </c>
      <c r="J195">
        <f>VLOOKUP(A195,Tabla17[],3,FALSE)</f>
        <v>7.0000000000000001E-3</v>
      </c>
      <c r="K195">
        <f>VLOOKUP(A195,Tabla17[],4,FALSE)</f>
        <v>0.25600000000000001</v>
      </c>
      <c r="L195">
        <f>VLOOKUP(A195,Tabla17[],5,FALSE)</f>
        <v>0.73699999999999999</v>
      </c>
      <c r="M195">
        <f>VLOOKUP(A195,Tabla17[],6,FALSE)</f>
        <v>3662</v>
      </c>
      <c r="N195" t="str">
        <f>VLOOKUP(A195,Tabla17[],7,FALSE)</f>
        <v>133 914</v>
      </c>
      <c r="O195" t="str">
        <f>VLOOKUP(A195,Tabla17[],8,FALSE)</f>
        <v>385 525</v>
      </c>
      <c r="P195" t="str">
        <f>VLOOKUP(A195,Tabla110[],2,FALSE)</f>
        <v> FRANCO SUIZO</v>
      </c>
      <c r="Q195" t="str">
        <f>VLOOKUP(A195,Tabla110[],3,FALSE)</f>
        <v>0,9003</v>
      </c>
      <c r="R195">
        <f>VLOOKUP(A195,Tabla29[],2,FALSE)</f>
        <v>0</v>
      </c>
      <c r="S195">
        <f>VLOOKUP(A195,Tabla29[],3,FALSE)</f>
        <v>41.7</v>
      </c>
      <c r="T195">
        <f>VLOOKUP(A195,Tabla18[],3,FALSE)</f>
        <v>83.7</v>
      </c>
    </row>
    <row r="196" spans="1:20" x14ac:dyDescent="0.25">
      <c r="A196" s="1" t="s">
        <v>43</v>
      </c>
      <c r="B196" t="str">
        <f>VLOOKUP(A196,Tabla1[],2,FALSE)</f>
        <v>4.664.000.000</v>
      </c>
      <c r="C196" t="str">
        <f>VLOOKUP(A196,Tabla1[],3,FALSE)</f>
        <v>1,51%</v>
      </c>
      <c r="D196">
        <f>VLOOKUP(A196,Tabla1[],4,FALSE)</f>
        <v>7.0990000000000002</v>
      </c>
      <c r="E196">
        <f>VLOOKUP(A196,Tabla2[],2,FALSE)</f>
        <v>173</v>
      </c>
      <c r="F196">
        <f>VLOOKUP(A196,Tabla2[],3,FALSE)</f>
        <v>631</v>
      </c>
      <c r="G196" t="e">
        <f>VLOOKUP(A196,Tabla4[],3,FALSE)</f>
        <v>#N/A</v>
      </c>
      <c r="H196">
        <f>VLOOKUP(A196,Tabla3[],3,FALSE)</f>
        <v>3.3839999999999999</v>
      </c>
      <c r="I196" t="str">
        <f>VLOOKUP(A196,Tabla16[],2,FALSE)</f>
        <v>7,70</v>
      </c>
      <c r="J196">
        <f>VLOOKUP(A196,Tabla17[],3,FALSE)</f>
        <v>0.11600000000000001</v>
      </c>
      <c r="K196">
        <f>VLOOKUP(A196,Tabla17[],4,FALSE)</f>
        <v>0.311</v>
      </c>
      <c r="L196">
        <f>VLOOKUP(A196,Tabla17[],5,FALSE)</f>
        <v>0.57399999999999995</v>
      </c>
      <c r="M196">
        <f>VLOOKUP(A196,Tabla17[],6,FALSE)</f>
        <v>1008</v>
      </c>
      <c r="N196">
        <f>VLOOKUP(A196,Tabla17[],7,FALSE)</f>
        <v>2702</v>
      </c>
      <c r="O196">
        <f>VLOOKUP(A196,Tabla17[],8,FALSE)</f>
        <v>4987</v>
      </c>
      <c r="P196" t="str">
        <f>VLOOKUP(A196,Tabla110[],2,FALSE)</f>
        <v> DÓLAR SURINAMÉS</v>
      </c>
      <c r="Q196">
        <f>VLOOKUP(A196,Tabla110[],3,FALSE)</f>
        <v>34752</v>
      </c>
      <c r="R196">
        <f>VLOOKUP(A196,Tabla29[],2,FALSE)</f>
        <v>5.9829999999999997</v>
      </c>
      <c r="S196">
        <f>VLOOKUP(A196,Tabla29[],3,FALSE)</f>
        <v>40</v>
      </c>
      <c r="T196">
        <f>VLOOKUP(A196,Tabla18[],3,FALSE)</f>
        <v>53</v>
      </c>
    </row>
    <row r="197" spans="1:20" x14ac:dyDescent="0.25">
      <c r="A197" s="2" t="s">
        <v>78</v>
      </c>
      <c r="B197" t="str">
        <f>VLOOKUP(A197,Tabla1[],2,FALSE)</f>
        <v>577.010.000.000</v>
      </c>
      <c r="C197" t="str">
        <f>VLOOKUP(A197,Tabla1[],3,FALSE)</f>
        <v>2,41%</v>
      </c>
      <c r="D197">
        <f>VLOOKUP(A197,Tabla1[],4,FALSE)</f>
        <v>8.0570000000000004</v>
      </c>
      <c r="E197">
        <f>VLOOKUP(A197,Tabla2[],2,FALSE)</f>
        <v>72.141999999999996</v>
      </c>
      <c r="F197">
        <f>VLOOKUP(A197,Tabla2[],3,FALSE)</f>
        <v>73.643000000000001</v>
      </c>
      <c r="G197" t="str">
        <f>VLOOKUP(A197,Tabla4[],3,FALSE)</f>
        <v>87.762,3</v>
      </c>
      <c r="H197">
        <f>VLOOKUP(A197,Tabla3[],3,FALSE)</f>
        <v>319.85399999999998</v>
      </c>
      <c r="I197" t="str">
        <f>VLOOKUP(A197,Tabla16[],2,FALSE)</f>
        <v>0,91</v>
      </c>
      <c r="J197">
        <f>VLOOKUP(A197,Tabla17[],3,FALSE)</f>
        <v>8.2000000000000003E-2</v>
      </c>
      <c r="K197">
        <f>VLOOKUP(A197,Tabla17[],4,FALSE)</f>
        <v>0.36199999999999999</v>
      </c>
      <c r="L197">
        <f>VLOOKUP(A197,Tabla17[],5,FALSE)</f>
        <v>0.55600000000000005</v>
      </c>
      <c r="M197" t="str">
        <f>VLOOKUP(A197,Tabla17[],6,FALSE)</f>
        <v>101 352</v>
      </c>
      <c r="N197" t="str">
        <f>VLOOKUP(A197,Tabla17[],7,FALSE)</f>
        <v>447 432</v>
      </c>
      <c r="O197" t="str">
        <f>VLOOKUP(A197,Tabla17[],8,FALSE)</f>
        <v>687 216</v>
      </c>
      <c r="P197" t="str">
        <f>VLOOKUP(A197,Tabla110[],2,FALSE)</f>
        <v> BAHT TAILANDÉS</v>
      </c>
      <c r="Q197" t="str">
        <f>VLOOKUP(A197,Tabla110[],3,FALSE)</f>
        <v>34,22</v>
      </c>
      <c r="R197">
        <f>VLOOKUP(A197,Tabla29[],2,FALSE)</f>
        <v>3.7330000000000001</v>
      </c>
      <c r="S197">
        <f>VLOOKUP(A197,Tabla29[],3,FALSE)</f>
        <v>48</v>
      </c>
      <c r="T197">
        <f>VLOOKUP(A197,Tabla18[],3,FALSE)</f>
        <v>62.2</v>
      </c>
    </row>
    <row r="198" spans="1:20" x14ac:dyDescent="0.25">
      <c r="A198" s="1" t="s">
        <v>217</v>
      </c>
      <c r="B198" t="str">
        <f>VLOOKUP(A198,Tabla1[],2,FALSE)</f>
        <v>920.050.000.000</v>
      </c>
      <c r="C198" t="str">
        <f>VLOOKUP(A198,Tabla1[],3,FALSE)</f>
        <v>8,68%</v>
      </c>
      <c r="D198">
        <f>VLOOKUP(A198,Tabla1[],4,FALSE)</f>
        <v>39.488999999999997</v>
      </c>
      <c r="E198" t="e">
        <f>VLOOKUP(A198,Tabla2[],2,FALSE)</f>
        <v>#N/A</v>
      </c>
      <c r="F198" t="e">
        <f>VLOOKUP(A198,Tabla2[],3,FALSE)</f>
        <v>#N/A</v>
      </c>
      <c r="G198" t="e">
        <f>VLOOKUP(A198,Tabla4[],3,FALSE)</f>
        <v>#N/A</v>
      </c>
      <c r="H198" t="e">
        <f>VLOOKUP(A198,Tabla3[],3,FALSE)</f>
        <v>#N/A</v>
      </c>
      <c r="I198">
        <f>VLOOKUP(A198,Tabla16[],2,FALSE)</f>
        <v>3.35</v>
      </c>
      <c r="J198">
        <f>VLOOKUP(A198,Tabla17[],3,FALSE)</f>
        <v>1.7999999999999999E-2</v>
      </c>
      <c r="K198">
        <f>VLOOKUP(A198,Tabla17[],4,FALSE)</f>
        <v>0.36</v>
      </c>
      <c r="L198">
        <f>VLOOKUP(A198,Tabla17[],5,FALSE)</f>
        <v>0.621</v>
      </c>
      <c r="M198" t="str">
        <f>VLOOKUP(A198,Tabla17[],6,FALSE)</f>
        <v>21 402</v>
      </c>
      <c r="N198" t="str">
        <f>VLOOKUP(A198,Tabla17[],7,FALSE)</f>
        <v>428 040</v>
      </c>
      <c r="O198" t="str">
        <f>VLOOKUP(A198,Tabla17[],8,FALSE)</f>
        <v>738 369</v>
      </c>
      <c r="P198" t="e">
        <f>VLOOKUP(A198,Tabla110[],2,FALSE)</f>
        <v>#N/A</v>
      </c>
      <c r="Q198" t="e">
        <f>VLOOKUP(A198,Tabla110[],3,FALSE)</f>
        <v>#N/A</v>
      </c>
      <c r="R198">
        <f>VLOOKUP(A198,Tabla29[],2,FALSE)</f>
        <v>11.973000000000001</v>
      </c>
      <c r="S198">
        <f>VLOOKUP(A198,Tabla29[],3,FALSE)</f>
        <v>40</v>
      </c>
      <c r="T198">
        <f>VLOOKUP(A198,Tabla18[],3,FALSE)</f>
        <v>79.8</v>
      </c>
    </row>
    <row r="199" spans="1:20" x14ac:dyDescent="0.25">
      <c r="A199" s="1" t="s">
        <v>191</v>
      </c>
      <c r="B199" t="str">
        <f>VLOOKUP(A199,Tabla1[],2,FALSE)</f>
        <v>87.344.000.000</v>
      </c>
      <c r="C199" t="str">
        <f>VLOOKUP(A199,Tabla1[],3,FALSE)</f>
        <v>5,88%</v>
      </c>
      <c r="D199">
        <f>VLOOKUP(A199,Tabla1[],4,FALSE)</f>
        <v>1.292</v>
      </c>
      <c r="E199">
        <f>VLOOKUP(A199,Tabla2[],2,FALSE)</f>
        <v>6.2839999999999998</v>
      </c>
      <c r="F199">
        <f>VLOOKUP(A199,Tabla2[],3,FALSE)</f>
        <v>2.33</v>
      </c>
      <c r="G199" t="e">
        <f>VLOOKUP(A199,Tabla4[],3,FALSE)</f>
        <v>#N/A</v>
      </c>
      <c r="H199">
        <f>VLOOKUP(A199,Tabla3[],3,FALSE)</f>
        <v>37.463000000000001</v>
      </c>
      <c r="I199">
        <f>VLOOKUP(A199,Tabla16[],2,FALSE)</f>
        <v>2.61</v>
      </c>
      <c r="J199">
        <f>VLOOKUP(A199,Tabla17[],3,FALSE)</f>
        <v>0.23400000000000001</v>
      </c>
      <c r="K199">
        <f>VLOOKUP(A199,Tabla17[],4,FALSE)</f>
        <v>0.28599999999999998</v>
      </c>
      <c r="L199">
        <f>VLOOKUP(A199,Tabla17[],5,FALSE)</f>
        <v>0.47599999999999998</v>
      </c>
      <c r="M199" t="str">
        <f>VLOOKUP(A199,Tabla17[],6,FALSE)</f>
        <v>38 025</v>
      </c>
      <c r="N199" t="str">
        <f>VLOOKUP(A199,Tabla17[],7,FALSE)</f>
        <v>46 475</v>
      </c>
      <c r="O199" t="str">
        <f>VLOOKUP(A199,Tabla17[],8,FALSE)</f>
        <v>77 350</v>
      </c>
      <c r="P199" t="str">
        <f>VLOOKUP(A199,Tabla110[],2,FALSE)</f>
        <v> CHELÍN TANZANO</v>
      </c>
      <c r="Q199">
        <f>VLOOKUP(A199,Tabla110[],3,FALSE)</f>
        <v>2390</v>
      </c>
      <c r="R199">
        <f>VLOOKUP(A199,Tabla29[],2,FALSE)</f>
        <v>209</v>
      </c>
      <c r="S199">
        <f>VLOOKUP(A199,Tabla29[],3,FALSE)</f>
        <v>45</v>
      </c>
      <c r="T199">
        <f>VLOOKUP(A199,Tabla18[],3,FALSE)</f>
        <v>59</v>
      </c>
    </row>
    <row r="200" spans="1:20" x14ac:dyDescent="0.25">
      <c r="A200" s="2" t="s">
        <v>216</v>
      </c>
      <c r="B200" t="str">
        <f>VLOOKUP(A200,Tabla1[],2,FALSE)</f>
        <v>17.542.000.000</v>
      </c>
      <c r="C200" t="str">
        <f>VLOOKUP(A200,Tabla1[],3,FALSE)</f>
        <v>8,40%</v>
      </c>
      <c r="D200">
        <f>VLOOKUP(A200,Tabla1[],4,FALSE)</f>
        <v>1.6930000000000001</v>
      </c>
      <c r="E200">
        <f>VLOOKUP(A200,Tabla2[],2,FALSE)</f>
        <v>244</v>
      </c>
      <c r="F200">
        <f>VLOOKUP(A200,Tabla2[],3,FALSE)</f>
        <v>748</v>
      </c>
      <c r="G200" t="e">
        <f>VLOOKUP(A200,Tabla4[],3,FALSE)</f>
        <v>#N/A</v>
      </c>
      <c r="H200">
        <f>VLOOKUP(A200,Tabla3[],3,FALSE)</f>
        <v>3.6539999999999999</v>
      </c>
      <c r="I200" t="str">
        <f>VLOOKUP(A200,Tabla16[],2,FALSE)</f>
        <v>6,98</v>
      </c>
      <c r="J200">
        <f>VLOOKUP(A200,Tabla17[],3,FALSE)</f>
        <v>0.28599999999999998</v>
      </c>
      <c r="K200">
        <f>VLOOKUP(A200,Tabla17[],4,FALSE)</f>
        <v>0.255</v>
      </c>
      <c r="L200">
        <f>VLOOKUP(A200,Tabla17[],5,FALSE)</f>
        <v>0.45900000000000002</v>
      </c>
      <c r="M200">
        <f>VLOOKUP(A200,Tabla17[],6,FALSE)</f>
        <v>8131</v>
      </c>
      <c r="N200">
        <f>VLOOKUP(A200,Tabla17[],7,FALSE)</f>
        <v>7250</v>
      </c>
      <c r="O200" t="str">
        <f>VLOOKUP(A200,Tabla17[],8,FALSE)</f>
        <v>13 049</v>
      </c>
      <c r="P200" t="str">
        <f>VLOOKUP(A200,Tabla110[],2,FALSE)</f>
        <v> SOMONI TAYIKO</v>
      </c>
      <c r="Q200" t="str">
        <f>VLOOKUP(A200,Tabla110[],3,FALSE)</f>
        <v>10,9</v>
      </c>
      <c r="R200">
        <f>VLOOKUP(A200,Tabla29[],2,FALSE)</f>
        <v>1.0609999999999999</v>
      </c>
      <c r="S200">
        <f>VLOOKUP(A200,Tabla29[],3,FALSE)</f>
        <v>40</v>
      </c>
      <c r="T200">
        <f>VLOOKUP(A200,Tabla18[],3,FALSE)</f>
        <v>52.5</v>
      </c>
    </row>
    <row r="201" spans="1:20" x14ac:dyDescent="0.25">
      <c r="A201" s="2" t="s">
        <v>158</v>
      </c>
      <c r="B201" t="str">
        <f>VLOOKUP(A201,Tabla1[],2,FALSE)</f>
        <v>2.064.000.000</v>
      </c>
      <c r="C201" t="str">
        <f>VLOOKUP(A201,Tabla1[],3,FALSE)</f>
        <v>4,50%</v>
      </c>
      <c r="D201">
        <f>VLOOKUP(A201,Tabla1[],4,FALSE)</f>
        <v>1.464</v>
      </c>
      <c r="E201">
        <f>VLOOKUP(A201,Tabla2[],2,FALSE)</f>
        <v>69</v>
      </c>
      <c r="F201">
        <f>VLOOKUP(A201,Tabla2[],3,FALSE)</f>
        <v>422</v>
      </c>
      <c r="G201" t="str">
        <f>VLOOKUP(A201,Tabla4[],3,FALSE)</f>
        <v>199,7</v>
      </c>
      <c r="H201">
        <f>VLOOKUP(A201,Tabla3[],3,FALSE)</f>
        <v>269</v>
      </c>
      <c r="I201" t="str">
        <f>VLOOKUP(A201,Tabla16[],2,FALSE)</f>
        <v>1,52</v>
      </c>
      <c r="J201">
        <f>VLOOKUP(A201,Tabla17[],3,FALSE)</f>
        <v>9.0999999999999998E-2</v>
      </c>
      <c r="K201">
        <f>VLOOKUP(A201,Tabla17[],4,FALSE)</f>
        <v>0.56699999999999995</v>
      </c>
      <c r="L201">
        <f>VLOOKUP(A201,Tabla17[],5,FALSE)</f>
        <v>0.34399999999999997</v>
      </c>
      <c r="M201">
        <f>VLOOKUP(A201,Tabla17[],6,FALSE)</f>
        <v>676</v>
      </c>
      <c r="N201">
        <f>VLOOKUP(A201,Tabla17[],7,FALSE)</f>
        <v>4211</v>
      </c>
      <c r="O201">
        <f>VLOOKUP(A201,Tabla17[],8,FALSE)</f>
        <v>2555</v>
      </c>
      <c r="P201" t="e">
        <f>VLOOKUP(A201,Tabla110[],2,FALSE)</f>
        <v>#N/A</v>
      </c>
      <c r="Q201" t="e">
        <f>VLOOKUP(A201,Tabla110[],3,FALSE)</f>
        <v>#N/A</v>
      </c>
      <c r="R201">
        <f>VLOOKUP(A201,Tabla29[],2,FALSE)</f>
        <v>1.38</v>
      </c>
      <c r="S201">
        <f>VLOOKUP(A201,Tabla29[],3,FALSE)</f>
        <v>44</v>
      </c>
      <c r="T201">
        <f>VLOOKUP(A201,Tabla18[],3,FALSE)</f>
        <v>47.9</v>
      </c>
    </row>
    <row r="202" spans="1:20" x14ac:dyDescent="0.25">
      <c r="A202" s="2" t="s">
        <v>192</v>
      </c>
      <c r="B202" t="str">
        <f>VLOOKUP(A202,Tabla1[],2,FALSE)</f>
        <v>11.899.000.000</v>
      </c>
      <c r="C202" t="str">
        <f>VLOOKUP(A202,Tabla1[],3,FALSE)</f>
        <v>5,89%</v>
      </c>
      <c r="D202">
        <f>VLOOKUP(A202,Tabla1[],4,FALSE)</f>
        <v>1.2170000000000001</v>
      </c>
      <c r="E202">
        <f>VLOOKUP(A202,Tabla2[],2,FALSE)</f>
        <v>514</v>
      </c>
      <c r="F202">
        <f>VLOOKUP(A202,Tabla2[],3,FALSE)</f>
        <v>438</v>
      </c>
      <c r="G202" t="str">
        <f>VLOOKUP(A202,Tabla4[],3,FALSE)</f>
        <v>1.844,3</v>
      </c>
      <c r="H202">
        <f>VLOOKUP(A202,Tabla3[],3,FALSE)</f>
        <v>7.0469999999999997</v>
      </c>
      <c r="I202">
        <f>VLOOKUP(A202,Tabla16[],2,FALSE)</f>
        <v>2.0499999999999998</v>
      </c>
      <c r="J202">
        <f>VLOOKUP(A202,Tabla17[],3,FALSE)</f>
        <v>0.28799999999999998</v>
      </c>
      <c r="K202">
        <f>VLOOKUP(A202,Tabla17[],4,FALSE)</f>
        <v>0.218</v>
      </c>
      <c r="L202">
        <f>VLOOKUP(A202,Tabla17[],5,FALSE)</f>
        <v>0.498</v>
      </c>
      <c r="M202">
        <f>VLOOKUP(A202,Tabla17[],6,FALSE)</f>
        <v>3735</v>
      </c>
      <c r="N202">
        <f>VLOOKUP(A202,Tabla17[],7,FALSE)</f>
        <v>2827</v>
      </c>
      <c r="O202">
        <f>VLOOKUP(A202,Tabla17[],8,FALSE)</f>
        <v>6459</v>
      </c>
      <c r="P202" t="e">
        <f>VLOOKUP(A202,Tabla110[],2,FALSE)</f>
        <v>#N/A</v>
      </c>
      <c r="Q202" t="e">
        <f>VLOOKUP(A202,Tabla110[],3,FALSE)</f>
        <v>#N/A</v>
      </c>
      <c r="R202">
        <f>VLOOKUP(A202,Tabla29[],2,FALSE)</f>
        <v>757</v>
      </c>
      <c r="S202">
        <f>VLOOKUP(A202,Tabla29[],3,FALSE)</f>
        <v>40</v>
      </c>
      <c r="T202">
        <f>VLOOKUP(A202,Tabla18[],3,FALSE)</f>
        <v>51.6</v>
      </c>
    </row>
    <row r="203" spans="1:20" x14ac:dyDescent="0.25">
      <c r="A203" s="1" t="s">
        <v>99</v>
      </c>
      <c r="B203" t="str">
        <f>VLOOKUP(A203,Tabla1[],2,FALSE)</f>
        <v>680.000.000</v>
      </c>
      <c r="C203" t="str">
        <f>VLOOKUP(A203,Tabla1[],3,FALSE)</f>
        <v>2,80%</v>
      </c>
      <c r="D203">
        <f>VLOOKUP(A203,Tabla1[],4,FALSE)</f>
        <v>6.8579999999999997</v>
      </c>
      <c r="E203">
        <f>VLOOKUP(A203,Tabla2[],2,FALSE)</f>
        <v>82</v>
      </c>
      <c r="F203">
        <f>VLOOKUP(A203,Tabla2[],3,FALSE)</f>
        <v>150</v>
      </c>
      <c r="G203" t="e">
        <f>VLOOKUP(A203,Tabla4[],3,FALSE)</f>
        <v>#N/A</v>
      </c>
      <c r="H203">
        <f>VLOOKUP(A203,Tabla3[],3,FALSE)</f>
        <v>225</v>
      </c>
      <c r="I203">
        <f>VLOOKUP(A203,Tabla16[],2,FALSE)</f>
        <v>2.2999999999999998</v>
      </c>
      <c r="J203">
        <f>VLOOKUP(A203,Tabla17[],3,FALSE)</f>
        <v>0.19900000000000001</v>
      </c>
      <c r="K203">
        <f>VLOOKUP(A203,Tabla17[],4,FALSE)</f>
        <v>0.20300000000000001</v>
      </c>
      <c r="L203">
        <f>VLOOKUP(A203,Tabla17[],5,FALSE)</f>
        <v>0.59799999999999998</v>
      </c>
      <c r="M203">
        <f>VLOOKUP(A203,Tabla17[],6,FALSE)</f>
        <v>118</v>
      </c>
      <c r="N203">
        <f>VLOOKUP(A203,Tabla17[],7,FALSE)</f>
        <v>120</v>
      </c>
      <c r="O203">
        <f>VLOOKUP(A203,Tabla17[],8,FALSE)</f>
        <v>353</v>
      </c>
      <c r="P203" t="str">
        <f>VLOOKUP(A203,Tabla110[],2,FALSE)</f>
        <v> PAANGA DE TONGA</v>
      </c>
      <c r="Q203" t="str">
        <f>VLOOKUP(A203,Tabla110[],3,FALSE)</f>
        <v>0,404</v>
      </c>
      <c r="R203">
        <f>VLOOKUP(A203,Tabla29[],2,FALSE)</f>
        <v>0</v>
      </c>
      <c r="S203">
        <f>VLOOKUP(A203,Tabla29[],3,FALSE)</f>
        <v>40</v>
      </c>
      <c r="T203">
        <f>VLOOKUP(A203,Tabla18[],3,FALSE)</f>
        <v>58.9</v>
      </c>
    </row>
    <row r="204" spans="1:20" x14ac:dyDescent="0.25">
      <c r="A204" s="2" t="s">
        <v>18</v>
      </c>
      <c r="B204" t="str">
        <f>VLOOKUP(A204,Tabla1[],2,FALSE)</f>
        <v>25.932.000.000</v>
      </c>
      <c r="C204" t="str">
        <f>VLOOKUP(A204,Tabla1[],3,FALSE)</f>
        <v>0,78%</v>
      </c>
      <c r="D204">
        <f>VLOOKUP(A204,Tabla1[],4,FALSE)</f>
        <v>18.071999999999999</v>
      </c>
      <c r="E204">
        <f>VLOOKUP(TRIM(A204),Tabla2[],2,FALSE)</f>
        <v>1.1659999999999999</v>
      </c>
      <c r="F204">
        <f>VLOOKUP(A204,Tabla2[],3,FALSE)</f>
        <v>2.157</v>
      </c>
      <c r="G204" t="str">
        <f>VLOOKUP(A204,Tabla4[],3,FALSE)</f>
        <v>6.919,0</v>
      </c>
      <c r="H204">
        <f>VLOOKUP(A204,Tabla3[],3,FALSE)</f>
        <v>16.459</v>
      </c>
      <c r="I204">
        <f>VLOOKUP(A204,Tabla16[],2,FALSE)</f>
        <v>4.21</v>
      </c>
      <c r="J204">
        <f>VLOOKUP(A204,Tabla17[],3,FALSE)</f>
        <v>4.0000000000000001E-3</v>
      </c>
      <c r="K204">
        <f>VLOOKUP(A204,Tabla17[],4,FALSE)</f>
        <v>0.47799999999999998</v>
      </c>
      <c r="L204">
        <f>VLOOKUP(A204,Tabla17[],5,FALSE)</f>
        <v>0.51700000000000002</v>
      </c>
      <c r="M204">
        <f>VLOOKUP(A204,Tabla17[],6,FALSE)</f>
        <v>171</v>
      </c>
      <c r="N204" t="str">
        <f>VLOOKUP(A204,Tabla17[],7,FALSE)</f>
        <v>20 482</v>
      </c>
      <c r="O204" t="str">
        <f>VLOOKUP(A204,Tabla17[],8,FALSE)</f>
        <v>22 153</v>
      </c>
      <c r="P204" t="e">
        <f>VLOOKUP(A204,Tabla110[],2,FALSE)</f>
        <v>#N/A</v>
      </c>
      <c r="Q204" t="e">
        <f>VLOOKUP(A204,Tabla110[],3,FALSE)</f>
        <v>#N/A</v>
      </c>
      <c r="R204">
        <f>VLOOKUP(A204,Tabla29[],2,FALSE)</f>
        <v>4.6150000000000002</v>
      </c>
      <c r="S204">
        <f>VLOOKUP(A204,Tabla29[],3,FALSE)</f>
        <v>40</v>
      </c>
      <c r="T204">
        <f>VLOOKUP(A204,Tabla18[],3,FALSE)</f>
        <v>62.4</v>
      </c>
    </row>
    <row r="205" spans="1:20" x14ac:dyDescent="0.25">
      <c r="A205" s="1" t="s">
        <v>83</v>
      </c>
      <c r="B205" t="str">
        <f>VLOOKUP(A205,Tabla1[],2,FALSE)</f>
        <v>57.589.000.000</v>
      </c>
      <c r="C205" t="str">
        <f>VLOOKUP(A205,Tabla1[],3,FALSE)</f>
        <v>2,49%</v>
      </c>
      <c r="D205">
        <f>VLOOKUP(A205,Tabla1[],4,FALSE)</f>
        <v>4.6639999999999997</v>
      </c>
      <c r="E205">
        <f>VLOOKUP(A205,Tabla2[],2,FALSE)</f>
        <v>10.694000000000001</v>
      </c>
      <c r="F205">
        <f>VLOOKUP(A205,Tabla2[],3,FALSE)</f>
        <v>3.863</v>
      </c>
      <c r="G205" t="str">
        <f>VLOOKUP(A205,Tabla4[],3,FALSE)</f>
        <v>16.497,9</v>
      </c>
      <c r="H205">
        <f>VLOOKUP(A205,Tabla3[],3,FALSE)</f>
        <v>44.134</v>
      </c>
      <c r="I205">
        <f>VLOOKUP(A205,Tabla16[],2,FALSE)</f>
        <v>15.11</v>
      </c>
      <c r="J205">
        <f>VLOOKUP(A205,Tabla17[],3,FALSE)</f>
        <v>0.10100000000000001</v>
      </c>
      <c r="K205">
        <f>VLOOKUP(A205,Tabla17[],4,FALSE)</f>
        <v>0.26200000000000001</v>
      </c>
      <c r="L205">
        <f>VLOOKUP(A205,Tabla17[],5,FALSE)</f>
        <v>0.63800000000000001</v>
      </c>
      <c r="M205" t="str">
        <f>VLOOKUP(A205,Tabla17[],6,FALSE)</f>
        <v>13 908</v>
      </c>
      <c r="N205" t="str">
        <f>VLOOKUP(A205,Tabla17[],7,FALSE)</f>
        <v>36 077</v>
      </c>
      <c r="O205" t="str">
        <f>VLOOKUP(A205,Tabla17[],8,FALSE)</f>
        <v>87 853</v>
      </c>
      <c r="P205" t="e">
        <f>VLOOKUP(A205,Tabla110[],2,FALSE)</f>
        <v>#N/A</v>
      </c>
      <c r="Q205" t="e">
        <f>VLOOKUP(A205,Tabla110[],3,FALSE)</f>
        <v>#N/A</v>
      </c>
      <c r="R205">
        <f>VLOOKUP(A205,Tabla29[],2,FALSE)</f>
        <v>2</v>
      </c>
      <c r="S205">
        <f>VLOOKUP(A205,Tabla29[],3,FALSE)</f>
        <v>48</v>
      </c>
      <c r="T205">
        <f>VLOOKUP(A205,Tabla18[],3,FALSE)</f>
        <v>48.1</v>
      </c>
    </row>
    <row r="206" spans="1:20" x14ac:dyDescent="0.25">
      <c r="A206" s="2" t="s">
        <v>128</v>
      </c>
      <c r="B206" t="str">
        <f>VLOOKUP(A206,Tabla1[],2,FALSE)</f>
        <v>77.398.000.000</v>
      </c>
      <c r="C206" t="str">
        <f>VLOOKUP(A206,Tabla1[],3,FALSE)</f>
        <v>3,58%</v>
      </c>
      <c r="D206">
        <f>VLOOKUP(A206,Tabla1[],4,FALSE)</f>
        <v>11.587</v>
      </c>
      <c r="E206" t="e">
        <f>VLOOKUP(A206,Tabla2[],2,FALSE)</f>
        <v>#N/A</v>
      </c>
      <c r="F206" t="e">
        <f>VLOOKUP(A206,Tabla2[],3,FALSE)</f>
        <v>#N/A</v>
      </c>
      <c r="G206" t="e">
        <f>VLOOKUP(A206,Tabla4[],3,FALSE)</f>
        <v>#N/A</v>
      </c>
      <c r="H206">
        <f>VLOOKUP(A206,Tabla3[],3,FALSE)</f>
        <v>2.8239999999999998</v>
      </c>
      <c r="I206">
        <f>VLOOKUP(A206,Tabla16[],2,FALSE)</f>
        <v>4.12</v>
      </c>
      <c r="J206">
        <f>VLOOKUP(A206,Tabla17[],3,FALSE)</f>
        <v>7.4999999999999997E-2</v>
      </c>
      <c r="K206">
        <f>VLOOKUP(A206,Tabla17[],4,FALSE)</f>
        <v>0.44900000000000001</v>
      </c>
      <c r="L206">
        <f>VLOOKUP(A206,Tabla17[],5,FALSE)</f>
        <v>0.47699999999999998</v>
      </c>
      <c r="M206">
        <f>VLOOKUP(A206,Tabla17[],6,FALSE)</f>
        <v>7778</v>
      </c>
      <c r="N206" t="str">
        <f>VLOOKUP(A206,Tabla17[],7,FALSE)</f>
        <v>46 561</v>
      </c>
      <c r="O206" t="str">
        <f>VLOOKUP(A206,Tabla17[],8,FALSE)</f>
        <v>49 465</v>
      </c>
      <c r="P206" t="e">
        <f>VLOOKUP(A206,Tabla110[],2,FALSE)</f>
        <v>#N/A</v>
      </c>
      <c r="Q206" t="e">
        <f>VLOOKUP(A206,Tabla110[],3,FALSE)</f>
        <v>#N/A</v>
      </c>
      <c r="R206" t="e">
        <f>VLOOKUP(A206,Tabla29[],2,FALSE)</f>
        <v>#N/A</v>
      </c>
      <c r="S206" t="e">
        <f>VLOOKUP(A206,Tabla29[],3,FALSE)</f>
        <v>#N/A</v>
      </c>
      <c r="T206">
        <f>VLOOKUP(A206,Tabla18[],3,FALSE)</f>
        <v>47</v>
      </c>
    </row>
    <row r="207" spans="1:20" x14ac:dyDescent="0.25">
      <c r="A207" s="1" t="s">
        <v>129</v>
      </c>
      <c r="B207" t="str">
        <f>VLOOKUP(A207,Tabla1[],2,FALSE)</f>
        <v>1.597.301.000.000</v>
      </c>
      <c r="C207" t="str">
        <f>VLOOKUP(A207,Tabla1[],3,FALSE)</f>
        <v>3,60%</v>
      </c>
      <c r="D207">
        <f>VLOOKUP(A207,Tabla1[],4,FALSE)</f>
        <v>18.611000000000001</v>
      </c>
      <c r="E207">
        <f>VLOOKUP(A207,Tabla2[],2,FALSE)</f>
        <v>115.249</v>
      </c>
      <c r="F207">
        <f>VLOOKUP(A207,Tabla2[],3,FALSE)</f>
        <v>53.256999999999998</v>
      </c>
      <c r="G207" t="e">
        <f>VLOOKUP(A207,Tabla4[],3,FALSE)</f>
        <v>#N/A</v>
      </c>
      <c r="H207" t="e">
        <f>VLOOKUP(A207,Tabla3[],3,FALSE)</f>
        <v>#N/A</v>
      </c>
      <c r="I207">
        <f>VLOOKUP(A207,Tabla16[],2,FALSE)</f>
        <v>9.41</v>
      </c>
      <c r="J207">
        <f>VLOOKUP(A207,Tabla17[],3,FALSE)</f>
        <v>6.8000000000000005E-2</v>
      </c>
      <c r="K207">
        <f>VLOOKUP(A207,Tabla17[],4,FALSE)</f>
        <v>0.32300000000000001</v>
      </c>
      <c r="L207">
        <f>VLOOKUP(A207,Tabla17[],5,FALSE)</f>
        <v>0.60699999999999998</v>
      </c>
      <c r="M207" t="str">
        <f>VLOOKUP(A207,Tabla17[],6,FALSE)</f>
        <v>148 648</v>
      </c>
      <c r="N207" t="str">
        <f>VLOOKUP(A207,Tabla17[],7,FALSE)</f>
        <v>706 078</v>
      </c>
      <c r="O207" t="str">
        <f>VLOOKUP(A207,Tabla17[],8,FALSE)</f>
        <v>1 326 902</v>
      </c>
      <c r="P207" t="str">
        <f>VLOOKUP(A207,Tabla110[],2,FALSE)</f>
        <v> NUEVA LIRA DE TURQUÍA</v>
      </c>
      <c r="Q207">
        <f>VLOOKUP(A207,Tabla110[],3,FALSE)</f>
        <v>351958</v>
      </c>
      <c r="R207">
        <f>VLOOKUP(A207,Tabla29[],2,FALSE)</f>
        <v>10.023</v>
      </c>
      <c r="S207">
        <f>VLOOKUP(A207,Tabla29[],3,FALSE)</f>
        <v>45</v>
      </c>
      <c r="T207">
        <f>VLOOKUP(A207,Tabla18[],3,FALSE)</f>
        <v>55</v>
      </c>
    </row>
    <row r="208" spans="1:20" x14ac:dyDescent="0.25">
      <c r="A208" s="2" t="s">
        <v>72</v>
      </c>
      <c r="B208" t="str">
        <f>VLOOKUP(A208,Tabla1[],2,FALSE)</f>
        <v>58.000.000</v>
      </c>
      <c r="C208" t="str">
        <f>VLOOKUP(A208,Tabla1[],3,FALSE)</f>
        <v>2,16%</v>
      </c>
      <c r="D208">
        <f>VLOOKUP(A208,Tabla1[],4,FALSE)</f>
        <v>5.8230000000000004</v>
      </c>
      <c r="E208">
        <f>VLOOKUP(A208,Tabla2[],2,FALSE)</f>
        <v>2</v>
      </c>
      <c r="F208">
        <f>VLOOKUP(A208,Tabla2[],3,FALSE)</f>
        <v>33</v>
      </c>
      <c r="G208" t="e">
        <f>VLOOKUP(A208,Tabla4[],3,FALSE)</f>
        <v>#N/A</v>
      </c>
      <c r="H208">
        <f>VLOOKUP(A208,Tabla3[],3,FALSE)</f>
        <v>4</v>
      </c>
      <c r="I208" t="e">
        <f>VLOOKUP(A208,Tabla16[],2,FALSE)</f>
        <v>#N/A</v>
      </c>
      <c r="J208">
        <f>VLOOKUP(A208,Tabla17[],3,FALSE)</f>
        <v>0.245</v>
      </c>
      <c r="K208">
        <f>VLOOKUP(A208,Tabla17[],4,FALSE)</f>
        <v>5.6000000000000001E-2</v>
      </c>
      <c r="L208">
        <f>VLOOKUP(A208,Tabla17[],5,FALSE)</f>
        <v>0.7</v>
      </c>
      <c r="M208">
        <f>VLOOKUP(A208,Tabla17[],6,FALSE)</f>
        <v>10</v>
      </c>
      <c r="N208">
        <f>VLOOKUP(A208,Tabla17[],7,FALSE)</f>
        <v>2</v>
      </c>
      <c r="O208">
        <f>VLOOKUP(A208,Tabla17[],8,FALSE)</f>
        <v>29</v>
      </c>
      <c r="P208" t="e">
        <f>VLOOKUP(A208,Tabla110[],2,FALSE)</f>
        <v>#N/A</v>
      </c>
      <c r="Q208" t="e">
        <f>VLOOKUP(A208,Tabla110[],3,FALSE)</f>
        <v>#N/A</v>
      </c>
      <c r="R208">
        <f>VLOOKUP(A208,Tabla29[],2,FALSE)</f>
        <v>0</v>
      </c>
      <c r="S208">
        <f>VLOOKUP(A208,Tabla29[],3,FALSE)</f>
        <v>0</v>
      </c>
      <c r="T208" t="e">
        <f>VLOOKUP(A208,Tabla18[],3,FALSE)</f>
        <v>#N/A</v>
      </c>
    </row>
    <row r="209" spans="1:20" x14ac:dyDescent="0.25">
      <c r="A209" s="1" t="s">
        <v>51</v>
      </c>
      <c r="B209" t="str">
        <f>VLOOKUP(A209,Tabla1[],2,FALSE)</f>
        <v>212.927.000.000</v>
      </c>
      <c r="C209" t="str">
        <f>VLOOKUP(A209,Tabla1[],3,FALSE)</f>
        <v>1,80%</v>
      </c>
      <c r="D209">
        <f>VLOOKUP(A209,Tabla1[],4,FALSE)</f>
        <v>6.4989999999999997</v>
      </c>
      <c r="E209">
        <f>VLOOKUP(A209,Tabla2[],2,FALSE)</f>
        <v>17.225999999999999</v>
      </c>
      <c r="F209">
        <f>VLOOKUP(A209,Tabla2[],3,FALSE)</f>
        <v>22.734000000000002</v>
      </c>
      <c r="G209" t="str">
        <f>VLOOKUP(A209,Tabla4[],3,FALSE)</f>
        <v>68.514,6</v>
      </c>
      <c r="H209">
        <f>VLOOKUP(A209,Tabla3[],3,FALSE)</f>
        <v>171.08500000000001</v>
      </c>
      <c r="I209">
        <f>VLOOKUP(A209,Tabla16[],2,FALSE)</f>
        <v>12.1</v>
      </c>
      <c r="J209">
        <f>VLOOKUP(A209,Tabla17[],3,FALSE)</f>
        <v>0.122</v>
      </c>
      <c r="K209">
        <f>VLOOKUP(A209,Tabla17[],4,FALSE)</f>
        <v>0.28599999999999998</v>
      </c>
      <c r="L209">
        <f>VLOOKUP(A209,Tabla17[],5,FALSE)</f>
        <v>0.6</v>
      </c>
      <c r="M209" t="str">
        <f>VLOOKUP(A209,Tabla17[],6,FALSE)</f>
        <v>45 091</v>
      </c>
      <c r="N209" t="str">
        <f>VLOOKUP(A209,Tabla17[],7,FALSE)</f>
        <v>105 706</v>
      </c>
      <c r="O209" t="str">
        <f>VLOOKUP(A209,Tabla17[],8,FALSE)</f>
        <v>221 760</v>
      </c>
      <c r="P209" t="str">
        <f>VLOOKUP(A209,Tabla110[],2,FALSE)</f>
        <v> HRYVNIA DE UCRANIA</v>
      </c>
      <c r="Q209">
        <f>VLOOKUP(A209,Tabla110[],3,FALSE)</f>
        <v>418616</v>
      </c>
      <c r="R209">
        <f>VLOOKUP(A209,Tabla29[],2,FALSE)</f>
        <v>3.802</v>
      </c>
      <c r="S209">
        <f>VLOOKUP(A209,Tabla29[],3,FALSE)</f>
        <v>40</v>
      </c>
      <c r="T209" t="e">
        <f>VLOOKUP(A209,Tabla18[],3,FALSE)</f>
        <v>#N/A</v>
      </c>
    </row>
    <row r="210" spans="1:20" x14ac:dyDescent="0.25">
      <c r="A210" s="2" t="s">
        <v>202</v>
      </c>
      <c r="B210" t="str">
        <f>VLOOKUP(A210,Tabla1[],2,FALSE)</f>
        <v>66.014.000.000</v>
      </c>
      <c r="C210" t="str">
        <f>VLOOKUP(A210,Tabla1[],3,FALSE)</f>
        <v>6,72%</v>
      </c>
      <c r="D210">
        <f>VLOOKUP(A210,Tabla1[],4,FALSE)</f>
        <v>1.375</v>
      </c>
      <c r="E210">
        <f>VLOOKUP(A210,Tabla2[],2,FALSE)</f>
        <v>2.081</v>
      </c>
      <c r="F210">
        <f>VLOOKUP(A210,Tabla2[],3,FALSE)</f>
        <v>3.7</v>
      </c>
      <c r="G210" t="str">
        <f>VLOOKUP(A210,Tabla4[],3,FALSE)</f>
        <v>6.875,1</v>
      </c>
      <c r="H210">
        <f>VLOOKUP(A210,Tabla3[],3,FALSE)</f>
        <v>28.954999999999998</v>
      </c>
      <c r="I210">
        <f>VLOOKUP(A210,Tabla16[],2,FALSE)</f>
        <v>2.83</v>
      </c>
      <c r="J210">
        <f>VLOOKUP(A210,Tabla17[],3,FALSE)</f>
        <v>0.28199999999999997</v>
      </c>
      <c r="K210">
        <f>VLOOKUP(A210,Tabla17[],4,FALSE)</f>
        <v>0.21099999999999999</v>
      </c>
      <c r="L210">
        <f>VLOOKUP(A210,Tabla17[],5,FALSE)</f>
        <v>0.50700000000000001</v>
      </c>
      <c r="M210" t="str">
        <f>VLOOKUP(A210,Tabla17[],6,FALSE)</f>
        <v>25 152</v>
      </c>
      <c r="N210" t="str">
        <f>VLOOKUP(A210,Tabla17[],7,FALSE)</f>
        <v>18 819</v>
      </c>
      <c r="O210" t="str">
        <f>VLOOKUP(A210,Tabla17[],8,FALSE)</f>
        <v>45 219</v>
      </c>
      <c r="P210" t="str">
        <f>VLOOKUP(A210,Tabla110[],2,FALSE)</f>
        <v> CHELÍN UGANDÉS</v>
      </c>
      <c r="Q210" t="str">
        <f>VLOOKUP(A210,Tabla110[],3,FALSE)</f>
        <v>3657,5</v>
      </c>
      <c r="R210">
        <f>VLOOKUP(A210,Tabla29[],2,FALSE)</f>
        <v>426</v>
      </c>
      <c r="S210">
        <f>VLOOKUP(A210,Tabla29[],3,FALSE)</f>
        <v>40</v>
      </c>
      <c r="T210">
        <f>VLOOKUP(A210,Tabla18[],3,FALSE)</f>
        <v>52.4</v>
      </c>
    </row>
    <row r="211" spans="1:20" x14ac:dyDescent="0.25">
      <c r="A211" s="2" t="s">
        <v>50</v>
      </c>
      <c r="B211" t="str">
        <f>VLOOKUP(A211,Tabla1[],2,FALSE)</f>
        <v>85.575.000.000</v>
      </c>
      <c r="C211" t="str">
        <f>VLOOKUP(A211,Tabla1[],3,FALSE)</f>
        <v>1,78%</v>
      </c>
      <c r="D211">
        <f>VLOOKUP(A211,Tabla1[],4,FALSE)</f>
        <v>24.548999999999999</v>
      </c>
      <c r="E211">
        <f>VLOOKUP(A211,Tabla2[],2,FALSE)</f>
        <v>6.9480000000000004</v>
      </c>
      <c r="F211">
        <f>VLOOKUP(A211,Tabla2[],3,FALSE)</f>
        <v>6.2060000000000004</v>
      </c>
      <c r="G211" t="str">
        <f>VLOOKUP(A211,Tabla4[],3,FALSE)</f>
        <v>21.172,9</v>
      </c>
      <c r="H211">
        <f>VLOOKUP(A211,Tabla3[],3,FALSE)</f>
        <v>55.612000000000002</v>
      </c>
      <c r="I211">
        <f>VLOOKUP(A211,Tabla16[],2,FALSE)</f>
        <v>8.35</v>
      </c>
      <c r="J211">
        <f>VLOOKUP(A211,Tabla17[],3,FALSE)</f>
        <v>6.2E-2</v>
      </c>
      <c r="K211">
        <f>VLOOKUP(A211,Tabla17[],4,FALSE)</f>
        <v>0.24099999999999999</v>
      </c>
      <c r="L211">
        <f>VLOOKUP(A211,Tabla17[],5,FALSE)</f>
        <v>0.69699999999999995</v>
      </c>
      <c r="M211">
        <f>VLOOKUP(A211,Tabla17[],6,FALSE)</f>
        <v>4846</v>
      </c>
      <c r="N211" t="str">
        <f>VLOOKUP(A211,Tabla17[],7,FALSE)</f>
        <v>18 837</v>
      </c>
      <c r="O211" t="str">
        <f>VLOOKUP(A211,Tabla17[],8,FALSE)</f>
        <v>54 478</v>
      </c>
      <c r="P211" t="str">
        <f>VLOOKUP(A211,Tabla110[],2,FALSE)</f>
        <v> PESO URUGUAYO</v>
      </c>
      <c r="Q211" t="str">
        <f>VLOOKUP(A211,Tabla110[],3,FALSE)</f>
        <v>44,03</v>
      </c>
      <c r="R211">
        <f>VLOOKUP(A211,Tabla29[],2,FALSE)</f>
        <v>6.1360000000000001</v>
      </c>
      <c r="S211">
        <f>VLOOKUP(A211,Tabla29[],3,FALSE)</f>
        <v>48</v>
      </c>
      <c r="T211">
        <f>VLOOKUP(A211,Tabla18[],3,FALSE)</f>
        <v>69.8</v>
      </c>
    </row>
    <row r="212" spans="1:20" x14ac:dyDescent="0.25">
      <c r="A212" s="1" t="s">
        <v>213</v>
      </c>
      <c r="B212" t="str">
        <f>VLOOKUP(A212,Tabla1[],2,FALSE)</f>
        <v>147.069.000.000</v>
      </c>
      <c r="C212" t="str">
        <f>VLOOKUP(A212,Tabla1[],3,FALSE)</f>
        <v>7,70%</v>
      </c>
      <c r="D212">
        <f>VLOOKUP(A212,Tabla1[],4,FALSE)</f>
        <v>3.8460000000000001</v>
      </c>
      <c r="E212">
        <f>VLOOKUP(A212,Tabla2[],2,FALSE)</f>
        <v>6.5469999999999997</v>
      </c>
      <c r="F212">
        <f>VLOOKUP(A212,Tabla2[],3,FALSE)</f>
        <v>10.464</v>
      </c>
      <c r="G212" t="e">
        <f>VLOOKUP(A212,Tabla4[],3,FALSE)</f>
        <v>#N/A</v>
      </c>
      <c r="H212">
        <f>VLOOKUP(A212,Tabla3[],3,FALSE)</f>
        <v>37.540999999999997</v>
      </c>
      <c r="I212">
        <f>VLOOKUP(A212,Tabla16[],2,FALSE)</f>
        <v>4.53</v>
      </c>
      <c r="J212">
        <f>VLOOKUP(A212,Tabla17[],3,FALSE)</f>
        <v>0.17899999999999999</v>
      </c>
      <c r="K212">
        <f>VLOOKUP(A212,Tabla17[],4,FALSE)</f>
        <v>0.33700000000000002</v>
      </c>
      <c r="L212">
        <f>VLOOKUP(A212,Tabla17[],5,FALSE)</f>
        <v>0.48499999999999999</v>
      </c>
      <c r="M212" t="str">
        <f>VLOOKUP(A212,Tabla17[],6,FALSE)</f>
        <v>39 917</v>
      </c>
      <c r="N212" t="str">
        <f>VLOOKUP(A212,Tabla17[],7,FALSE)</f>
        <v>75 151</v>
      </c>
      <c r="O212" t="str">
        <f>VLOOKUP(A212,Tabla17[],8,FALSE)</f>
        <v>108 155</v>
      </c>
      <c r="P212" t="e">
        <f>VLOOKUP(A212,Tabla110[],2,FALSE)</f>
        <v>#N/A</v>
      </c>
      <c r="Q212" t="e">
        <f>VLOOKUP(A212,Tabla110[],3,FALSE)</f>
        <v>#N/A</v>
      </c>
      <c r="R212">
        <f>VLOOKUP(A212,Tabla29[],2,FALSE)</f>
        <v>1.0409999999999999</v>
      </c>
      <c r="S212">
        <f>VLOOKUP(A212,Tabla29[],3,FALSE)</f>
        <v>40</v>
      </c>
      <c r="T212">
        <f>VLOOKUP(A212,Tabla18[],3,FALSE)</f>
        <v>60.3</v>
      </c>
    </row>
    <row r="213" spans="1:20" x14ac:dyDescent="0.25">
      <c r="A213" s="1" t="s">
        <v>109</v>
      </c>
      <c r="B213" t="str">
        <f>VLOOKUP(A213,Tabla1[],2,FALSE)</f>
        <v>1.316.000.000</v>
      </c>
      <c r="C213" t="str">
        <f>VLOOKUP(A213,Tabla1[],3,FALSE)</f>
        <v>3,05%</v>
      </c>
      <c r="D213">
        <f>VLOOKUP(A213,Tabla1[],4,FALSE)</f>
        <v>3.9359999999999999</v>
      </c>
      <c r="E213">
        <f>VLOOKUP(A213,Tabla2[],2,FALSE)</f>
        <v>78</v>
      </c>
      <c r="F213">
        <f>VLOOKUP(A213,Tabla2[],3,FALSE)</f>
        <v>230</v>
      </c>
      <c r="G213" t="str">
        <f>VLOOKUP(A213,Tabla4[],3,FALSE)</f>
        <v>208,7</v>
      </c>
      <c r="H213">
        <f>VLOOKUP(A213,Tabla3[],3,FALSE)</f>
        <v>494</v>
      </c>
      <c r="I213">
        <f>VLOOKUP(A213,Tabla16[],2,FALSE)</f>
        <v>5.0999999999999996</v>
      </c>
      <c r="J213">
        <f>VLOOKUP(A213,Tabla17[],3,FALSE)</f>
        <v>0.27300000000000002</v>
      </c>
      <c r="K213">
        <f>VLOOKUP(A213,Tabla17[],4,FALSE)</f>
        <v>0.11799999999999999</v>
      </c>
      <c r="L213">
        <f>VLOOKUP(A213,Tabla17[],5,FALSE)</f>
        <v>0.60799999999999998</v>
      </c>
      <c r="M213">
        <f>VLOOKUP(A213,Tabla17[],6,FALSE)</f>
        <v>211</v>
      </c>
      <c r="N213">
        <f>VLOOKUP(A213,Tabla17[],7,FALSE)</f>
        <v>91</v>
      </c>
      <c r="O213">
        <f>VLOOKUP(A213,Tabla17[],8,FALSE)</f>
        <v>469</v>
      </c>
      <c r="P213" t="str">
        <f>VLOOKUP(A213,Tabla110[],2,FALSE)</f>
        <v> VATU DE VANUATU</v>
      </c>
      <c r="Q213">
        <f>VLOOKUP(A213,Tabla110[],3,FALSE)</f>
        <v>116</v>
      </c>
      <c r="R213">
        <f>VLOOKUP(A213,Tabla29[],2,FALSE)</f>
        <v>3.24</v>
      </c>
      <c r="S213">
        <f>VLOOKUP(A213,Tabla29[],3,FALSE)</f>
        <v>40</v>
      </c>
      <c r="T213">
        <f>VLOOKUP(A213,Tabla18[],3,FALSE)</f>
        <v>61.1</v>
      </c>
    </row>
    <row r="214" spans="1:20" x14ac:dyDescent="0.25">
      <c r="A214" s="1" t="s">
        <v>45</v>
      </c>
      <c r="B214" t="str">
        <f>VLOOKUP(A214,Tabla1[],2,FALSE)</f>
        <v>99.661.000.000</v>
      </c>
      <c r="C214" t="str">
        <f>VLOOKUP(A214,Tabla1[],3,FALSE)</f>
        <v>1,53%</v>
      </c>
      <c r="D214">
        <f>VLOOKUP(A214,Tabla1[],4,FALSE)</f>
        <v>3.7360000000000002</v>
      </c>
      <c r="E214">
        <f>VLOOKUP(A214,Tabla2[],2,FALSE)</f>
        <v>1.2849999999999999</v>
      </c>
      <c r="F214">
        <f>VLOOKUP(A214,Tabla2[],3,FALSE)</f>
        <v>9.4719999999999995</v>
      </c>
      <c r="G214" t="str">
        <f>VLOOKUP(A214,Tabla4[],3,FALSE)</f>
        <v>1.373.474.766,6</v>
      </c>
      <c r="H214">
        <f>VLOOKUP(A214,Tabla3[],3,FALSE)</f>
        <v>30.11</v>
      </c>
      <c r="I214">
        <f>VLOOKUP(A214,Tabla16[],2,FALSE)</f>
        <v>5.53</v>
      </c>
      <c r="J214">
        <f>VLOOKUP(A214,Tabla17[],3,FALSE)</f>
        <v>4.7E-2</v>
      </c>
      <c r="K214">
        <f>VLOOKUP(A214,Tabla17[],4,FALSE)</f>
        <v>0.40400000000000003</v>
      </c>
      <c r="L214">
        <f>VLOOKUP(A214,Tabla17[],5,FALSE)</f>
        <v>0.54900000000000004</v>
      </c>
      <c r="M214" t="str">
        <f>VLOOKUP(A214,Tabla17[],6,FALSE)</f>
        <v>17 935</v>
      </c>
      <c r="N214" t="str">
        <f>VLOOKUP(A214,Tabla17[],7,FALSE)</f>
        <v>154 166</v>
      </c>
      <c r="O214" t="str">
        <f>VLOOKUP(A214,Tabla17[],8,FALSE)</f>
        <v>209 498</v>
      </c>
      <c r="P214" t="str">
        <f>VLOOKUP(A214,Tabla110[],2,FALSE)</f>
        <v> BOLIVAR VENEZOLANO</v>
      </c>
      <c r="Q214">
        <f>VLOOKUP(A214,Tabla110[],3,FALSE)</f>
        <v>2482099219</v>
      </c>
      <c r="R214">
        <f>VLOOKUP(A214,Tabla29[],2,FALSE)</f>
        <v>10.32</v>
      </c>
      <c r="S214">
        <f>VLOOKUP(A214,Tabla29[],3,FALSE)</f>
        <v>0</v>
      </c>
      <c r="T214">
        <f>VLOOKUP(A214,Tabla18[],3,FALSE)</f>
        <v>27.3</v>
      </c>
    </row>
    <row r="215" spans="1:20" x14ac:dyDescent="0.25">
      <c r="A215" s="1" t="s">
        <v>215</v>
      </c>
      <c r="B215" t="str">
        <f>VLOOKUP(A215,Tabla1[],2,FALSE)</f>
        <v>494.046.000.000</v>
      </c>
      <c r="C215" t="str">
        <f>VLOOKUP(A215,Tabla1[],3,FALSE)</f>
        <v>8,02%</v>
      </c>
      <c r="D215">
        <f>VLOOKUP(A215,Tabla1[],4,FALSE)</f>
        <v>4.8289999999999997</v>
      </c>
      <c r="E215">
        <f>VLOOKUP(A215,Tabla2[],2,FALSE)</f>
        <v>23.850999999999999</v>
      </c>
      <c r="F215">
        <f>VLOOKUP(A215,Tabla2[],3,FALSE)</f>
        <v>36.183</v>
      </c>
      <c r="G215" t="e">
        <f>VLOOKUP(A215,Tabla4[],3,FALSE)</f>
        <v>#N/A</v>
      </c>
      <c r="H215" t="e">
        <f>VLOOKUP(A215,Tabla3[],3,FALSE)</f>
        <v>#N/A</v>
      </c>
      <c r="I215" t="str">
        <f>VLOOKUP(A215,Tabla16[],2,FALSE)</f>
        <v>1,60</v>
      </c>
      <c r="J215">
        <f>VLOOKUP(A215,Tabla17[],3,FALSE)</f>
        <v>0.153</v>
      </c>
      <c r="K215">
        <f>VLOOKUP(A215,Tabla17[],4,FALSE)</f>
        <v>0.33300000000000002</v>
      </c>
      <c r="L215">
        <f>VLOOKUP(A215,Tabla17[],5,FALSE)</f>
        <v>0.51300000000000001</v>
      </c>
      <c r="M215" t="str">
        <f>VLOOKUP(A215,Tabla17[],6,FALSE)</f>
        <v>99 251</v>
      </c>
      <c r="N215" t="str">
        <f>VLOOKUP(A215,Tabla17[],7,FALSE)</f>
        <v>216 017</v>
      </c>
      <c r="O215" t="str">
        <f>VLOOKUP(A215,Tabla17[],8,FALSE)</f>
        <v>332 783</v>
      </c>
      <c r="P215" t="str">
        <f>VLOOKUP(A215,Tabla110[],2,FALSE)</f>
        <v> DONG DE VIETNAM</v>
      </c>
      <c r="Q215">
        <f>VLOOKUP(A215,Tabla110[],3,FALSE)</f>
        <v>25425</v>
      </c>
      <c r="R215">
        <f>VLOOKUP(A215,Tabla29[],2,FALSE)</f>
        <v>2.7509999999999999</v>
      </c>
      <c r="S215">
        <f>VLOOKUP(A215,Tabla29[],3,FALSE)</f>
        <v>40</v>
      </c>
      <c r="T215">
        <f>VLOOKUP(A215,Tabla18[],3,FALSE)</f>
        <v>64.400000000000006</v>
      </c>
    </row>
    <row r="216" spans="1:20" x14ac:dyDescent="0.25">
      <c r="A216" s="1" t="s">
        <v>11</v>
      </c>
      <c r="B216" t="str">
        <f>VLOOKUP(A216,Tabla1[],2,FALSE)</f>
        <v>7.897.000.000</v>
      </c>
      <c r="C216" t="str">
        <f>VLOOKUP(A216,Tabla1[],3,FALSE)</f>
        <v>−0,54%</v>
      </c>
      <c r="D216">
        <f>VLOOKUP(A216,Tabla1[],4,FALSE)</f>
        <v>420</v>
      </c>
      <c r="E216">
        <f>VLOOKUP(TRIM(A216),Tabla2[],2,FALSE)</f>
        <v>466</v>
      </c>
      <c r="F216">
        <f>VLOOKUP(A216,Tabla2[],3,FALSE)</f>
        <v>1.458</v>
      </c>
      <c r="G216" t="e">
        <f>VLOOKUP(A216,Tabla4[],3,FALSE)</f>
        <v>#N/A</v>
      </c>
      <c r="H216">
        <f>VLOOKUP(A216,Tabla3[],3,FALSE)</f>
        <v>13.55</v>
      </c>
      <c r="I216">
        <f>VLOOKUP(A216,Tabla16[],2,FALSE)</f>
        <v>17.22</v>
      </c>
      <c r="J216">
        <f>VLOOKUP(A216,Tabla17[],3,FALSE)</f>
        <v>0.20300000000000001</v>
      </c>
      <c r="K216">
        <f>VLOOKUP(A216,Tabla17[],4,FALSE)</f>
        <v>0.11799999999999999</v>
      </c>
      <c r="L216">
        <f>VLOOKUP(A216,Tabla17[],5,FALSE)</f>
        <v>0.67900000000000005</v>
      </c>
      <c r="M216" t="str">
        <f>VLOOKUP(A216,Tabla17[],6,FALSE)</f>
        <v>14 947</v>
      </c>
      <c r="N216">
        <f>VLOOKUP(A216,Tabla17[],7,FALSE)</f>
        <v>8688</v>
      </c>
      <c r="O216" t="str">
        <f>VLOOKUP(A216,Tabla17[],8,FALSE)</f>
        <v>49 995</v>
      </c>
      <c r="P216" t="str">
        <f>VLOOKUP(A216,Tabla110[],2,FALSE)</f>
        <v> RIAL DE YEMEN</v>
      </c>
      <c r="Q216" t="str">
        <f>VLOOKUP(A216,Tabla110[],3,FALSE)</f>
        <v>249,12</v>
      </c>
      <c r="R216">
        <f>VLOOKUP(A216,Tabla29[],2,FALSE)</f>
        <v>0</v>
      </c>
      <c r="S216">
        <f>VLOOKUP(A216,Tabla29[],3,FALSE)</f>
        <v>48</v>
      </c>
      <c r="T216" t="e">
        <f>VLOOKUP(A216,Tabla18[],3,FALSE)</f>
        <v>#N/A</v>
      </c>
    </row>
    <row r="217" spans="1:20" x14ac:dyDescent="0.25">
      <c r="A217" s="2" t="s">
        <v>196</v>
      </c>
      <c r="B217" t="str">
        <f>VLOOKUP(A217,Tabla1[],2,FALSE)</f>
        <v>4.378.000.000</v>
      </c>
      <c r="C217" t="str">
        <f>VLOOKUP(A217,Tabla1[],3,FALSE)</f>
        <v>6,00%</v>
      </c>
      <c r="D217">
        <f>VLOOKUP(A217,Tabla1[],4,FALSE)</f>
        <v>4.1449999999999996</v>
      </c>
      <c r="E217">
        <f>VLOOKUP(A217,Tabla2[],2,FALSE)</f>
        <v>1.105</v>
      </c>
      <c r="F217">
        <f>VLOOKUP(A217,Tabla2[],3,FALSE)</f>
        <v>787</v>
      </c>
      <c r="G217" t="e">
        <f>VLOOKUP(A217,Tabla4[],3,FALSE)</f>
        <v>#N/A</v>
      </c>
      <c r="H217">
        <f>VLOOKUP(A217,Tabla3[],3,FALSE)</f>
        <v>1.41</v>
      </c>
      <c r="I217" t="e">
        <f>VLOOKUP(A217,Tabla16[],2,FALSE)</f>
        <v>#N/A</v>
      </c>
      <c r="J217">
        <f>VLOOKUP(A217,Tabla17[],3,FALSE)</f>
        <v>2.4E-2</v>
      </c>
      <c r="K217">
        <f>VLOOKUP(A217,Tabla17[],4,FALSE)</f>
        <v>0.17299999999999999</v>
      </c>
      <c r="L217">
        <f>VLOOKUP(A217,Tabla17[],5,FALSE)</f>
        <v>0.80200000000000005</v>
      </c>
      <c r="M217">
        <f>VLOOKUP(A217,Tabla17[],6,FALSE)</f>
        <v>87</v>
      </c>
      <c r="N217">
        <f>VLOOKUP(A217,Tabla17[],7,FALSE)</f>
        <v>630</v>
      </c>
      <c r="O217">
        <f>VLOOKUP(A217,Tabla17[],8,FALSE)</f>
        <v>2919</v>
      </c>
      <c r="P217" t="e">
        <f>VLOOKUP(A217,Tabla110[],2,FALSE)</f>
        <v>#N/A</v>
      </c>
      <c r="Q217" t="e">
        <f>VLOOKUP(A217,Tabla110[],3,FALSE)</f>
        <v>#N/A</v>
      </c>
      <c r="R217">
        <f>VLOOKUP(A217,Tabla29[],2,FALSE)</f>
        <v>0</v>
      </c>
      <c r="S217">
        <f>VLOOKUP(A217,Tabla29[],3,FALSE)</f>
        <v>48</v>
      </c>
      <c r="T217">
        <f>VLOOKUP(A217,Tabla18[],3,FALSE)</f>
        <v>56.3</v>
      </c>
    </row>
    <row r="218" spans="1:20" x14ac:dyDescent="0.25">
      <c r="A218" s="1" t="s">
        <v>135</v>
      </c>
      <c r="B218" t="str">
        <f>VLOOKUP(A218,Tabla1[],2,FALSE)</f>
        <v>28.880.000.000</v>
      </c>
      <c r="C218" t="str">
        <f>VLOOKUP(A218,Tabla1[],3,FALSE)</f>
        <v>3,76%</v>
      </c>
      <c r="D218">
        <f>VLOOKUP(A218,Tabla1[],4,FALSE)</f>
        <v>1.3180000000000001</v>
      </c>
      <c r="E218">
        <f>VLOOKUP(A218,Tabla2[],2,FALSE)</f>
        <v>933</v>
      </c>
      <c r="F218">
        <f>VLOOKUP(A218,Tabla2[],3,FALSE)</f>
        <v>1.706</v>
      </c>
      <c r="G218" t="str">
        <f>VLOOKUP(A218,Tabla4[],3,FALSE)</f>
        <v>4.537,9</v>
      </c>
      <c r="H218">
        <f>VLOOKUP(A218,Tabla3[],3,FALSE)</f>
        <v>30.26</v>
      </c>
      <c r="I218" t="str">
        <f>VLOOKUP(A218,Tabla16[],2,FALSE)</f>
        <v>5,91</v>
      </c>
      <c r="J218">
        <f>VLOOKUP(A218,Tabla17[],3,FALSE)</f>
        <v>7.4999999999999997E-2</v>
      </c>
      <c r="K218">
        <f>VLOOKUP(A218,Tabla17[],4,FALSE)</f>
        <v>0.35299999999999998</v>
      </c>
      <c r="L218">
        <f>VLOOKUP(A218,Tabla17[],5,FALSE)</f>
        <v>0.56999999999999995</v>
      </c>
      <c r="M218">
        <f>VLOOKUP(A218,Tabla17[],6,FALSE)</f>
        <v>5170</v>
      </c>
      <c r="N218" t="str">
        <f>VLOOKUP(A218,Tabla17[],7,FALSE)</f>
        <v>24 332</v>
      </c>
      <c r="O218" t="str">
        <f>VLOOKUP(A218,Tabla17[],8,FALSE)</f>
        <v>39 290</v>
      </c>
      <c r="P218" t="str">
        <f>VLOOKUP(A218,Tabla110[],2,FALSE)</f>
        <v> KWACHA DE ZAMBIA</v>
      </c>
      <c r="Q218" t="str">
        <f>VLOOKUP(A218,Tabla110[],3,FALSE)</f>
        <v>27,8</v>
      </c>
      <c r="R218">
        <f>VLOOKUP(A218,Tabla29[],2,FALSE)</f>
        <v>596</v>
      </c>
      <c r="S218">
        <f>VLOOKUP(A218,Tabla29[],3,FALSE)</f>
        <v>48</v>
      </c>
      <c r="T218">
        <f>VLOOKUP(A218,Tabla18[],3,FALSE)</f>
        <v>51.9</v>
      </c>
    </row>
    <row r="219" spans="1:20" x14ac:dyDescent="0.25">
      <c r="A219" s="1" t="s">
        <v>211</v>
      </c>
      <c r="B219" t="str">
        <f>VLOOKUP(A219,Tabla1[],2,FALSE)</f>
        <v>53.474.000.000</v>
      </c>
      <c r="C219" t="str">
        <f>VLOOKUP(A219,Tabla1[],3,FALSE)</f>
        <v>7,54%</v>
      </c>
      <c r="D219">
        <f>VLOOKUP(A219,Tabla1[],4,FALSE)</f>
        <v>3.08</v>
      </c>
      <c r="E219">
        <f>VLOOKUP(A219,Tabla2[],2,FALSE)</f>
        <v>399</v>
      </c>
      <c r="F219">
        <f>VLOOKUP(A219,Tabla2[],3,FALSE)</f>
        <v>1.637</v>
      </c>
      <c r="G219" t="e">
        <f>VLOOKUP(A219,Tabla4[],3,FALSE)</f>
        <v>#N/A</v>
      </c>
      <c r="H219">
        <f>VLOOKUP(A219,Tabla3[],3,FALSE)</f>
        <v>601.14400000000001</v>
      </c>
      <c r="I219" t="str">
        <f>VLOOKUP(A219,Tabla16[],2,FALSE)</f>
        <v>8,76</v>
      </c>
      <c r="J219">
        <f>VLOOKUP(A219,Tabla17[],3,FALSE)</f>
        <v>0.12</v>
      </c>
      <c r="K219">
        <f>VLOOKUP(A219,Tabla17[],4,FALSE)</f>
        <v>0.222</v>
      </c>
      <c r="L219">
        <f>VLOOKUP(A219,Tabla17[],5,FALSE)</f>
        <v>0.65800000000000003</v>
      </c>
      <c r="M219">
        <f>VLOOKUP(A219,Tabla17[],6,FALSE)</f>
        <v>4112</v>
      </c>
      <c r="N219">
        <f>VLOOKUP(A219,Tabla17[],7,FALSE)</f>
        <v>7608</v>
      </c>
      <c r="O219" t="str">
        <f>VLOOKUP(A219,Tabla17[],8,FALSE)</f>
        <v>22 550</v>
      </c>
      <c r="P219" t="e">
        <f>VLOOKUP(A219,Tabla110[],2,FALSE)</f>
        <v>#N/A</v>
      </c>
      <c r="Q219" t="e">
        <f>VLOOKUP(A219,Tabla110[],3,FALSE)</f>
        <v>#N/A</v>
      </c>
      <c r="R219">
        <f>VLOOKUP(A219,Tabla29[],2,FALSE)</f>
        <v>0</v>
      </c>
      <c r="S219">
        <f>VLOOKUP(A219,Tabla29[],3,FALSE)</f>
        <v>0</v>
      </c>
      <c r="T219">
        <f>VLOOKUP(A219,Tabla18[],3,FALSE)</f>
        <v>35.200000000000003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0C4C-2003-4463-A2F4-A9AEAEEB4F71}">
  <dimension ref="A1:K209"/>
  <sheetViews>
    <sheetView topLeftCell="A175" workbookViewId="0">
      <selection activeCell="A209" sqref="A209:I209"/>
    </sheetView>
  </sheetViews>
  <sheetFormatPr baseColWidth="10" defaultRowHeight="15" x14ac:dyDescent="0.25"/>
  <cols>
    <col min="1" max="1" width="31.28515625" style="10" bestFit="1" customWidth="1"/>
    <col min="2" max="2" width="15.7109375" bestFit="1" customWidth="1"/>
    <col min="3" max="3" width="14.28515625" style="10" bestFit="1" customWidth="1"/>
    <col min="4" max="4" width="12.7109375" style="11" bestFit="1" customWidth="1"/>
    <col min="5" max="5" width="12.5703125" style="11" bestFit="1" customWidth="1"/>
    <col min="6" max="6" width="21.42578125" bestFit="1" customWidth="1"/>
    <col min="7" max="7" width="19.85546875" bestFit="1" customWidth="1"/>
    <col min="8" max="8" width="19.7109375" bestFit="1" customWidth="1"/>
    <col min="9" max="9" width="15.7109375" bestFit="1" customWidth="1"/>
  </cols>
  <sheetData>
    <row r="1" spans="1:11" x14ac:dyDescent="0.25">
      <c r="A1" s="10" t="s">
        <v>0</v>
      </c>
      <c r="B1" t="s">
        <v>1083</v>
      </c>
      <c r="C1" s="10" t="s">
        <v>1084</v>
      </c>
      <c r="D1" s="11" t="s">
        <v>1085</v>
      </c>
      <c r="E1" s="11" t="s">
        <v>1086</v>
      </c>
      <c r="F1" t="s">
        <v>1087</v>
      </c>
      <c r="G1" t="s">
        <v>1088</v>
      </c>
      <c r="H1" t="s">
        <v>1089</v>
      </c>
      <c r="I1" t="s">
        <v>1090</v>
      </c>
    </row>
    <row r="2" spans="1:11" x14ac:dyDescent="0.25">
      <c r="A2" s="10" t="s">
        <v>105</v>
      </c>
      <c r="B2" t="s">
        <v>1096</v>
      </c>
      <c r="C2" s="10">
        <v>0.23</v>
      </c>
      <c r="D2" s="11">
        <v>0.21099999999999999</v>
      </c>
      <c r="E2" s="11">
        <v>0.55900000000000005</v>
      </c>
      <c r="F2" t="s">
        <v>1097</v>
      </c>
      <c r="G2" t="s">
        <v>1098</v>
      </c>
      <c r="H2" t="s">
        <v>1099</v>
      </c>
      <c r="I2">
        <v>97</v>
      </c>
      <c r="K2" t="str">
        <f>(TRIM(SUBSTITUTE(A2,CHAR(160),"")))</f>
        <v>Afganistán</v>
      </c>
    </row>
    <row r="3" spans="1:11" x14ac:dyDescent="0.25">
      <c r="A3" s="10" t="s">
        <v>133</v>
      </c>
      <c r="B3" t="s">
        <v>1100</v>
      </c>
      <c r="C3" s="10">
        <v>0.217</v>
      </c>
      <c r="D3" s="11">
        <v>0.24199999999999999</v>
      </c>
      <c r="E3" s="11">
        <v>0.54100000000000004</v>
      </c>
      <c r="F3">
        <v>7814</v>
      </c>
      <c r="G3">
        <v>8714</v>
      </c>
      <c r="H3" t="s">
        <v>1101</v>
      </c>
      <c r="I3">
        <v>121</v>
      </c>
      <c r="K3" t="str">
        <f t="shared" ref="K3:K66" si="0">(TRIM(SUBSTITUTE(A3,CHAR(160),"")))</f>
        <v>Albania</v>
      </c>
    </row>
    <row r="4" spans="1:11" x14ac:dyDescent="0.25">
      <c r="A4" s="10" t="s">
        <v>5</v>
      </c>
      <c r="B4" t="s">
        <v>1102</v>
      </c>
      <c r="C4" s="10">
        <v>7.0000000000000001E-3</v>
      </c>
      <c r="D4" s="11">
        <v>0.307</v>
      </c>
      <c r="E4" s="11">
        <v>0.68600000000000005</v>
      </c>
      <c r="F4" t="s">
        <v>1103</v>
      </c>
      <c r="G4" t="s">
        <v>1104</v>
      </c>
      <c r="H4" t="s">
        <v>1105</v>
      </c>
      <c r="I4">
        <v>5</v>
      </c>
      <c r="K4" t="str">
        <f t="shared" si="0"/>
        <v>Alemania</v>
      </c>
    </row>
    <row r="5" spans="1:11" x14ac:dyDescent="0.25">
      <c r="A5" s="10" t="s">
        <v>139</v>
      </c>
      <c r="B5">
        <v>3327</v>
      </c>
      <c r="C5" s="10">
        <v>0.11899999999999999</v>
      </c>
      <c r="D5" s="11">
        <v>0.33600000000000002</v>
      </c>
      <c r="E5" s="11">
        <v>0.54500000000000004</v>
      </c>
      <c r="F5">
        <v>396</v>
      </c>
      <c r="G5">
        <v>1118</v>
      </c>
      <c r="H5">
        <v>1813</v>
      </c>
      <c r="I5">
        <v>170</v>
      </c>
      <c r="K5" t="str">
        <f t="shared" si="0"/>
        <v>Andorra</v>
      </c>
    </row>
    <row r="6" spans="1:11" x14ac:dyDescent="0.25">
      <c r="A6" s="10" t="s">
        <v>116</v>
      </c>
      <c r="B6" t="s">
        <v>1106</v>
      </c>
      <c r="C6" s="10">
        <v>0.10199999999999999</v>
      </c>
      <c r="D6" s="11">
        <v>0.61399999999999999</v>
      </c>
      <c r="E6" s="11">
        <v>0.28399999999999997</v>
      </c>
      <c r="F6" t="s">
        <v>1107</v>
      </c>
      <c r="G6" t="s">
        <v>1108</v>
      </c>
      <c r="H6" t="s">
        <v>1109</v>
      </c>
      <c r="I6">
        <v>63</v>
      </c>
      <c r="K6" t="str">
        <f t="shared" si="0"/>
        <v>Angola</v>
      </c>
    </row>
    <row r="7" spans="1:11" x14ac:dyDescent="0.25">
      <c r="A7" s="10" t="s">
        <v>108</v>
      </c>
      <c r="B7">
        <v>2398</v>
      </c>
      <c r="C7" s="10">
        <v>1.7999999999999999E-2</v>
      </c>
      <c r="D7" s="11">
        <v>0.20799999999999999</v>
      </c>
      <c r="E7" s="11">
        <v>0.77300000000000002</v>
      </c>
      <c r="F7">
        <v>43</v>
      </c>
      <c r="G7">
        <v>499</v>
      </c>
      <c r="H7">
        <v>1854</v>
      </c>
      <c r="I7">
        <v>175</v>
      </c>
      <c r="K7" t="str">
        <f t="shared" si="0"/>
        <v>Antigua y Barbuda</v>
      </c>
    </row>
    <row r="8" spans="1:11" x14ac:dyDescent="0.25">
      <c r="A8" s="10" t="s">
        <v>157</v>
      </c>
      <c r="B8" t="s">
        <v>1110</v>
      </c>
      <c r="C8" s="10">
        <v>2.5999999999999999E-2</v>
      </c>
      <c r="D8" s="11">
        <v>0.442</v>
      </c>
      <c r="E8" s="11">
        <v>0.53200000000000003</v>
      </c>
      <c r="F8" t="s">
        <v>1111</v>
      </c>
      <c r="G8" t="s">
        <v>1112</v>
      </c>
      <c r="H8" t="s">
        <v>1113</v>
      </c>
      <c r="I8">
        <v>16</v>
      </c>
      <c r="K8" t="str">
        <f t="shared" si="0"/>
        <v>Arabia Saudita</v>
      </c>
    </row>
    <row r="9" spans="1:11" x14ac:dyDescent="0.25">
      <c r="A9" s="10" t="s">
        <v>138</v>
      </c>
      <c r="B9" t="s">
        <v>1114</v>
      </c>
      <c r="C9" s="10">
        <v>0.13300000000000001</v>
      </c>
      <c r="D9" s="11">
        <v>0.39300000000000002</v>
      </c>
      <c r="E9" s="11">
        <v>0.47399999999999998</v>
      </c>
      <c r="F9" t="s">
        <v>1115</v>
      </c>
      <c r="G9" t="s">
        <v>1116</v>
      </c>
      <c r="H9" t="s">
        <v>1117</v>
      </c>
      <c r="I9">
        <v>35</v>
      </c>
      <c r="K9" t="str">
        <f t="shared" si="0"/>
        <v>Argelia</v>
      </c>
    </row>
    <row r="10" spans="1:11" x14ac:dyDescent="0.25">
      <c r="A10" s="10" t="s">
        <v>152</v>
      </c>
      <c r="B10" t="s">
        <v>1118</v>
      </c>
      <c r="C10" s="10">
        <v>0.108</v>
      </c>
      <c r="D10" s="11">
        <v>0.28100000000000003</v>
      </c>
      <c r="E10" s="11">
        <v>0.61099999999999999</v>
      </c>
      <c r="F10" t="s">
        <v>1119</v>
      </c>
      <c r="G10" t="s">
        <v>1120</v>
      </c>
      <c r="H10" t="s">
        <v>1121</v>
      </c>
      <c r="I10">
        <v>27</v>
      </c>
      <c r="K10" t="str">
        <f t="shared" si="0"/>
        <v>Argentina</v>
      </c>
    </row>
    <row r="11" spans="1:11" x14ac:dyDescent="0.25">
      <c r="A11" s="10" t="s">
        <v>207</v>
      </c>
      <c r="B11" t="s">
        <v>1122</v>
      </c>
      <c r="C11" s="10">
        <v>0.16700000000000001</v>
      </c>
      <c r="D11" s="11">
        <v>0.28199999999999997</v>
      </c>
      <c r="E11" s="11">
        <v>0.54800000000000004</v>
      </c>
      <c r="F11">
        <v>4733</v>
      </c>
      <c r="G11">
        <v>7992</v>
      </c>
      <c r="H11" t="s">
        <v>1123</v>
      </c>
      <c r="I11">
        <v>132</v>
      </c>
      <c r="K11" t="str">
        <f t="shared" si="0"/>
        <v>Armenia</v>
      </c>
    </row>
    <row r="12" spans="1:11" x14ac:dyDescent="0.25">
      <c r="A12" s="10" t="s">
        <v>56</v>
      </c>
      <c r="B12" t="s">
        <v>1124</v>
      </c>
      <c r="C12" s="10">
        <v>3.5999999999999997E-2</v>
      </c>
      <c r="D12" s="11">
        <v>0.253</v>
      </c>
      <c r="E12" s="11">
        <v>0.71199999999999997</v>
      </c>
      <c r="F12" t="s">
        <v>1125</v>
      </c>
      <c r="G12" t="s">
        <v>1126</v>
      </c>
      <c r="H12">
        <v>887328</v>
      </c>
      <c r="I12">
        <v>19</v>
      </c>
      <c r="K12" t="str">
        <f t="shared" si="0"/>
        <v>Australia</v>
      </c>
    </row>
    <row r="13" spans="1:11" x14ac:dyDescent="0.25">
      <c r="A13" s="10" t="s">
        <v>15</v>
      </c>
      <c r="B13" t="s">
        <v>1127</v>
      </c>
      <c r="C13" s="10">
        <v>1.2999999999999999E-2</v>
      </c>
      <c r="D13" s="11">
        <v>0.28399999999999997</v>
      </c>
      <c r="E13" s="11">
        <v>0.70299999999999996</v>
      </c>
      <c r="F13">
        <v>5733</v>
      </c>
      <c r="G13" t="s">
        <v>1128</v>
      </c>
      <c r="H13" t="s">
        <v>1129</v>
      </c>
      <c r="I13">
        <v>43</v>
      </c>
      <c r="K13" t="str">
        <f t="shared" si="0"/>
        <v>Austria</v>
      </c>
    </row>
    <row r="14" spans="1:11" x14ac:dyDescent="0.25">
      <c r="A14" s="10" t="s">
        <v>40</v>
      </c>
      <c r="B14" t="s">
        <v>1130</v>
      </c>
      <c r="C14" s="10">
        <v>6.0999999999999999E-2</v>
      </c>
      <c r="D14" s="11">
        <v>0.53500000000000003</v>
      </c>
      <c r="E14" s="11">
        <v>0.40400000000000003</v>
      </c>
      <c r="F14" t="s">
        <v>1131</v>
      </c>
      <c r="G14" t="s">
        <v>1132</v>
      </c>
      <c r="H14" t="s">
        <v>1133</v>
      </c>
      <c r="I14">
        <v>71</v>
      </c>
      <c r="K14" t="str">
        <f t="shared" si="0"/>
        <v>Azerbaiyán</v>
      </c>
    </row>
    <row r="15" spans="1:11" x14ac:dyDescent="0.25">
      <c r="A15" s="10" t="s">
        <v>96</v>
      </c>
      <c r="B15" t="s">
        <v>1134</v>
      </c>
      <c r="C15" s="10">
        <v>2.3E-2</v>
      </c>
      <c r="D15" s="11">
        <v>7.6999999999999999E-2</v>
      </c>
      <c r="E15" s="11">
        <v>0.9</v>
      </c>
      <c r="F15">
        <v>277</v>
      </c>
      <c r="G15">
        <v>929</v>
      </c>
      <c r="H15" t="s">
        <v>1135</v>
      </c>
      <c r="I15">
        <v>149</v>
      </c>
      <c r="K15" t="str">
        <f t="shared" si="0"/>
        <v>Bahamas</v>
      </c>
    </row>
    <row r="16" spans="1:11" x14ac:dyDescent="0.25">
      <c r="A16" s="10" t="s">
        <v>1849</v>
      </c>
      <c r="B16" t="s">
        <v>1136</v>
      </c>
      <c r="C16" s="10">
        <v>0.14199999999999999</v>
      </c>
      <c r="D16" s="11">
        <v>0.29299999999999998</v>
      </c>
      <c r="E16" s="11">
        <v>0.56499999999999995</v>
      </c>
      <c r="F16" t="s">
        <v>1137</v>
      </c>
      <c r="G16" t="s">
        <v>1138</v>
      </c>
      <c r="H16" t="s">
        <v>1139</v>
      </c>
      <c r="I16">
        <v>32</v>
      </c>
      <c r="K16" t="str">
        <f t="shared" si="0"/>
        <v>Bangladés</v>
      </c>
    </row>
    <row r="17" spans="1:11" x14ac:dyDescent="0.25">
      <c r="A17" s="10" t="s">
        <v>92</v>
      </c>
      <c r="B17">
        <v>5218</v>
      </c>
      <c r="C17" s="10">
        <v>1.4999999999999999E-2</v>
      </c>
      <c r="D17" s="11">
        <v>9.8000000000000004E-2</v>
      </c>
      <c r="E17" s="11">
        <v>0.88700000000000001</v>
      </c>
      <c r="F17">
        <v>78</v>
      </c>
      <c r="G17">
        <v>511</v>
      </c>
      <c r="H17">
        <v>4628</v>
      </c>
      <c r="I17">
        <v>165</v>
      </c>
      <c r="K17" t="str">
        <f t="shared" si="0"/>
        <v>Barbados</v>
      </c>
    </row>
    <row r="18" spans="1:11" x14ac:dyDescent="0.25">
      <c r="A18" s="10" t="s">
        <v>115</v>
      </c>
      <c r="B18" t="s">
        <v>1140</v>
      </c>
      <c r="C18" s="10">
        <v>3.0000000000000001E-3</v>
      </c>
      <c r="D18" s="11">
        <v>0.39300000000000002</v>
      </c>
      <c r="E18" s="11">
        <v>0.60399999999999998</v>
      </c>
      <c r="F18">
        <v>214</v>
      </c>
      <c r="G18" t="s">
        <v>1141</v>
      </c>
      <c r="H18" t="s">
        <v>1142</v>
      </c>
      <c r="I18">
        <v>96</v>
      </c>
      <c r="K18" t="str">
        <f t="shared" si="0"/>
        <v>Baréin</v>
      </c>
    </row>
    <row r="19" spans="1:11" x14ac:dyDescent="0.25">
      <c r="A19" s="10" t="s">
        <v>24</v>
      </c>
      <c r="B19" t="s">
        <v>1143</v>
      </c>
      <c r="C19" s="10">
        <v>7.0000000000000001E-3</v>
      </c>
      <c r="D19" s="11">
        <v>0.221</v>
      </c>
      <c r="E19" s="11">
        <v>0.77200000000000002</v>
      </c>
      <c r="F19">
        <v>3704</v>
      </c>
      <c r="G19" t="s">
        <v>1144</v>
      </c>
      <c r="H19" t="s">
        <v>1145</v>
      </c>
      <c r="I19">
        <v>36</v>
      </c>
      <c r="K19" t="str">
        <f t="shared" si="0"/>
        <v>Bélgica</v>
      </c>
    </row>
    <row r="20" spans="1:11" x14ac:dyDescent="0.25">
      <c r="A20" s="10" t="s">
        <v>93</v>
      </c>
      <c r="B20">
        <v>3218</v>
      </c>
      <c r="C20" s="10">
        <v>0.10299999999999999</v>
      </c>
      <c r="D20" s="11">
        <v>0.216</v>
      </c>
      <c r="E20" s="11">
        <v>0.68</v>
      </c>
      <c r="F20">
        <v>331</v>
      </c>
      <c r="G20">
        <v>695</v>
      </c>
      <c r="H20">
        <v>2188</v>
      </c>
      <c r="I20">
        <v>171</v>
      </c>
      <c r="K20" t="str">
        <f t="shared" si="0"/>
        <v>Belice</v>
      </c>
    </row>
    <row r="21" spans="1:11" x14ac:dyDescent="0.25">
      <c r="A21" s="10" t="s">
        <v>210</v>
      </c>
      <c r="B21" t="s">
        <v>1146</v>
      </c>
      <c r="C21" s="10">
        <v>0.26100000000000001</v>
      </c>
      <c r="D21" s="11">
        <v>0.22800000000000001</v>
      </c>
      <c r="E21" s="11">
        <v>0.51100000000000001</v>
      </c>
      <c r="F21">
        <v>6627</v>
      </c>
      <c r="G21">
        <v>5789</v>
      </c>
      <c r="H21" t="s">
        <v>1147</v>
      </c>
      <c r="I21">
        <v>137</v>
      </c>
      <c r="K21" t="str">
        <f t="shared" si="0"/>
        <v>Benín</v>
      </c>
    </row>
    <row r="22" spans="1:11" x14ac:dyDescent="0.25">
      <c r="A22" s="10" t="s">
        <v>68</v>
      </c>
      <c r="B22">
        <v>6127</v>
      </c>
      <c r="C22" s="10">
        <v>8.9999999999999993E-3</v>
      </c>
      <c r="D22" s="11">
        <v>5.2999999999999999E-2</v>
      </c>
      <c r="E22" s="11">
        <v>0.93799999999999994</v>
      </c>
      <c r="F22">
        <v>55</v>
      </c>
      <c r="G22">
        <v>325</v>
      </c>
      <c r="H22">
        <v>5747</v>
      </c>
      <c r="I22" t="s">
        <v>1148</v>
      </c>
      <c r="K22" t="str">
        <f t="shared" si="0"/>
        <v>Bermudas</v>
      </c>
    </row>
    <row r="23" spans="1:11" x14ac:dyDescent="0.25">
      <c r="A23" s="10" t="s">
        <v>34</v>
      </c>
      <c r="B23" t="s">
        <v>1149</v>
      </c>
      <c r="C23" s="10">
        <v>8.1000000000000003E-2</v>
      </c>
      <c r="D23" s="11">
        <v>0.40799999999999997</v>
      </c>
      <c r="E23" s="11">
        <v>0.51100000000000001</v>
      </c>
      <c r="F23" t="s">
        <v>1150</v>
      </c>
      <c r="G23" t="s">
        <v>1151</v>
      </c>
      <c r="H23" t="s">
        <v>1152</v>
      </c>
      <c r="I23">
        <v>68</v>
      </c>
      <c r="K23" t="str">
        <f t="shared" si="0"/>
        <v>Bielorrusia</v>
      </c>
    </row>
    <row r="24" spans="1:11" x14ac:dyDescent="0.25">
      <c r="A24" s="10" t="s">
        <v>999</v>
      </c>
      <c r="B24" t="s">
        <v>1153</v>
      </c>
      <c r="C24" s="10">
        <v>0.24099999999999999</v>
      </c>
      <c r="D24" s="11">
        <v>0.35599999999999998</v>
      </c>
      <c r="E24" s="11">
        <v>0.40300000000000002</v>
      </c>
      <c r="F24" t="s">
        <v>1154</v>
      </c>
      <c r="G24" t="s">
        <v>1155</v>
      </c>
      <c r="H24" t="s">
        <v>1156</v>
      </c>
      <c r="I24">
        <v>51</v>
      </c>
      <c r="K24" t="str">
        <f t="shared" si="0"/>
        <v>Birmania</v>
      </c>
    </row>
    <row r="25" spans="1:11" x14ac:dyDescent="0.25">
      <c r="A25" s="10" t="s">
        <v>32</v>
      </c>
      <c r="B25" t="s">
        <v>1157</v>
      </c>
      <c r="C25" s="10">
        <v>0.13800000000000001</v>
      </c>
      <c r="D25" s="11">
        <v>0.378</v>
      </c>
      <c r="E25" s="11">
        <v>0.48199999999999998</v>
      </c>
      <c r="F25" t="s">
        <v>1158</v>
      </c>
      <c r="G25" t="s">
        <v>1159</v>
      </c>
      <c r="H25" t="s">
        <v>1160</v>
      </c>
      <c r="I25">
        <v>91</v>
      </c>
      <c r="K25" t="str">
        <f t="shared" si="0"/>
        <v>Bolivia</v>
      </c>
    </row>
    <row r="26" spans="1:11" x14ac:dyDescent="0.25">
      <c r="A26" s="10" t="s">
        <v>63</v>
      </c>
      <c r="B26" t="s">
        <v>1161</v>
      </c>
      <c r="C26" s="10">
        <v>6.8000000000000005E-2</v>
      </c>
      <c r="D26" s="11">
        <v>0.28899999999999998</v>
      </c>
      <c r="E26" s="11">
        <v>0.64300000000000002</v>
      </c>
      <c r="F26">
        <v>3048</v>
      </c>
      <c r="G26" t="s">
        <v>1162</v>
      </c>
      <c r="H26" t="s">
        <v>1163</v>
      </c>
      <c r="I26">
        <v>109</v>
      </c>
      <c r="K26" t="str">
        <f t="shared" si="0"/>
        <v>Bosnia y Herzegovina</v>
      </c>
    </row>
    <row r="27" spans="1:11" x14ac:dyDescent="0.25">
      <c r="A27" s="10" t="s">
        <v>22</v>
      </c>
      <c r="B27" t="s">
        <v>1164</v>
      </c>
      <c r="C27" s="10">
        <v>1.7999999999999999E-2</v>
      </c>
      <c r="D27" s="11">
        <v>0.27500000000000002</v>
      </c>
      <c r="E27" s="11">
        <v>0.70599999999999996</v>
      </c>
      <c r="F27">
        <v>702</v>
      </c>
      <c r="G27" t="s">
        <v>1165</v>
      </c>
      <c r="H27" t="s">
        <v>1166</v>
      </c>
      <c r="I27">
        <v>117</v>
      </c>
      <c r="K27" t="str">
        <f t="shared" si="0"/>
        <v>Botsuana</v>
      </c>
    </row>
    <row r="28" spans="1:11" x14ac:dyDescent="0.25">
      <c r="A28" s="10" t="s">
        <v>74</v>
      </c>
      <c r="B28" t="s">
        <v>1167</v>
      </c>
      <c r="C28" s="10">
        <v>6.6000000000000003E-2</v>
      </c>
      <c r="D28" s="11">
        <v>0.20699999999999999</v>
      </c>
      <c r="E28" s="11">
        <v>0.72699999999999998</v>
      </c>
      <c r="F28" t="s">
        <v>1168</v>
      </c>
      <c r="G28" t="s">
        <v>1169</v>
      </c>
      <c r="H28" t="s">
        <v>1170</v>
      </c>
      <c r="I28">
        <v>8</v>
      </c>
      <c r="K28" t="str">
        <f t="shared" si="0"/>
        <v>Brasil</v>
      </c>
    </row>
    <row r="29" spans="1:11" x14ac:dyDescent="0.25">
      <c r="A29" s="10" t="s">
        <v>14</v>
      </c>
      <c r="B29" t="s">
        <v>1171</v>
      </c>
      <c r="C29" s="10">
        <v>1.2E-2</v>
      </c>
      <c r="D29" s="11">
        <v>0.56599999999999995</v>
      </c>
      <c r="E29" s="11">
        <v>0.42299999999999999</v>
      </c>
      <c r="F29">
        <v>406</v>
      </c>
      <c r="G29" t="s">
        <v>1172</v>
      </c>
      <c r="H29" t="s">
        <v>1173</v>
      </c>
      <c r="I29">
        <v>124</v>
      </c>
      <c r="K29" t="str">
        <f t="shared" si="0"/>
        <v>Brunéi</v>
      </c>
    </row>
    <row r="30" spans="1:11" x14ac:dyDescent="0.25">
      <c r="A30" s="10" t="s">
        <v>113</v>
      </c>
      <c r="B30" t="s">
        <v>1174</v>
      </c>
      <c r="C30" s="10">
        <v>4.2999999999999997E-2</v>
      </c>
      <c r="D30" s="11">
        <v>0.28000000000000003</v>
      </c>
      <c r="E30" s="11">
        <v>0.67400000000000004</v>
      </c>
      <c r="F30">
        <v>6601</v>
      </c>
      <c r="G30" t="s">
        <v>1175</v>
      </c>
      <c r="H30" t="s">
        <v>1176</v>
      </c>
      <c r="I30">
        <v>74</v>
      </c>
      <c r="K30" t="str">
        <f t="shared" si="0"/>
        <v>Bulgaria</v>
      </c>
    </row>
    <row r="31" spans="1:11" x14ac:dyDescent="0.25">
      <c r="A31" s="10" t="s">
        <v>172</v>
      </c>
      <c r="B31" t="s">
        <v>1177</v>
      </c>
      <c r="C31" s="10">
        <v>0.31</v>
      </c>
      <c r="D31" s="11">
        <v>0.23899999999999999</v>
      </c>
      <c r="E31" s="11">
        <v>0.44900000000000001</v>
      </c>
      <c r="F31" t="s">
        <v>1178</v>
      </c>
      <c r="G31">
        <v>8568</v>
      </c>
      <c r="H31" t="s">
        <v>1179</v>
      </c>
      <c r="I31">
        <v>122</v>
      </c>
      <c r="K31" t="str">
        <f t="shared" si="0"/>
        <v>Burkina Faso</v>
      </c>
    </row>
    <row r="32" spans="1:11" x14ac:dyDescent="0.25">
      <c r="A32" s="10" t="s">
        <v>140</v>
      </c>
      <c r="B32">
        <v>8007</v>
      </c>
      <c r="C32" s="10">
        <v>0.39500000000000002</v>
      </c>
      <c r="D32" s="11">
        <v>0.16400000000000001</v>
      </c>
      <c r="E32" s="11">
        <v>0.442</v>
      </c>
      <c r="F32">
        <v>3163</v>
      </c>
      <c r="G32">
        <v>1313</v>
      </c>
      <c r="H32">
        <v>3539</v>
      </c>
      <c r="I32">
        <v>156</v>
      </c>
      <c r="K32" t="str">
        <f t="shared" si="0"/>
        <v>Burundi</v>
      </c>
    </row>
    <row r="33" spans="1:11" x14ac:dyDescent="0.25">
      <c r="A33" s="10" t="s">
        <v>206</v>
      </c>
      <c r="B33">
        <v>7205</v>
      </c>
      <c r="C33" s="10">
        <v>0.16200000000000001</v>
      </c>
      <c r="D33" s="11">
        <v>0.41799999999999998</v>
      </c>
      <c r="E33" s="11">
        <v>0.42</v>
      </c>
      <c r="F33">
        <v>1167</v>
      </c>
      <c r="G33">
        <v>3012</v>
      </c>
      <c r="H33">
        <v>3026</v>
      </c>
      <c r="I33">
        <v>159</v>
      </c>
      <c r="K33" t="str">
        <f t="shared" si="0"/>
        <v>Bután</v>
      </c>
    </row>
    <row r="34" spans="1:11" x14ac:dyDescent="0.25">
      <c r="A34" s="10" t="s">
        <v>184</v>
      </c>
      <c r="B34">
        <v>3777</v>
      </c>
      <c r="C34" s="10">
        <v>8.8999999999999996E-2</v>
      </c>
      <c r="D34" s="11">
        <v>0.17499999999999999</v>
      </c>
      <c r="E34" s="11">
        <v>0.73699999999999999</v>
      </c>
      <c r="F34">
        <v>336</v>
      </c>
      <c r="G34">
        <v>661</v>
      </c>
      <c r="H34">
        <v>2784</v>
      </c>
      <c r="I34">
        <v>167</v>
      </c>
      <c r="K34" t="str">
        <f t="shared" si="0"/>
        <v>Cabo Verde</v>
      </c>
    </row>
    <row r="35" spans="1:11" x14ac:dyDescent="0.25">
      <c r="A35" s="10" t="s">
        <v>173</v>
      </c>
      <c r="B35" t="s">
        <v>1180</v>
      </c>
      <c r="C35" s="10">
        <v>0.253</v>
      </c>
      <c r="D35" s="11">
        <v>0.32800000000000001</v>
      </c>
      <c r="E35" s="11">
        <v>0.41899999999999998</v>
      </c>
      <c r="F35" t="s">
        <v>1181</v>
      </c>
      <c r="G35" t="s">
        <v>1182</v>
      </c>
      <c r="H35" t="s">
        <v>1183</v>
      </c>
      <c r="I35">
        <v>100</v>
      </c>
      <c r="K35" t="str">
        <f t="shared" si="0"/>
        <v>Camboya</v>
      </c>
    </row>
    <row r="36" spans="1:11" x14ac:dyDescent="0.25">
      <c r="A36" s="10" t="s">
        <v>111</v>
      </c>
      <c r="B36" t="s">
        <v>1184</v>
      </c>
      <c r="C36" s="10">
        <v>0.16700000000000001</v>
      </c>
      <c r="D36" s="11">
        <v>0.26500000000000001</v>
      </c>
      <c r="E36" s="11">
        <v>0.56799999999999995</v>
      </c>
      <c r="F36" t="s">
        <v>1185</v>
      </c>
      <c r="G36" t="s">
        <v>1186</v>
      </c>
      <c r="H36" t="s">
        <v>1187</v>
      </c>
      <c r="I36">
        <v>85</v>
      </c>
      <c r="K36" t="str">
        <f t="shared" si="0"/>
        <v>Camerún</v>
      </c>
    </row>
    <row r="37" spans="1:11" x14ac:dyDescent="0.25">
      <c r="A37" s="10" t="s">
        <v>48</v>
      </c>
      <c r="B37" t="s">
        <v>1188</v>
      </c>
      <c r="C37" s="10">
        <v>1.6E-2</v>
      </c>
      <c r="D37" s="11">
        <v>0.28199999999999997</v>
      </c>
      <c r="E37" s="11">
        <v>0.70199999999999996</v>
      </c>
      <c r="F37" t="s">
        <v>1189</v>
      </c>
      <c r="G37" t="s">
        <v>1190</v>
      </c>
      <c r="H37" t="s">
        <v>1191</v>
      </c>
      <c r="I37">
        <v>17</v>
      </c>
      <c r="K37" t="str">
        <f t="shared" si="0"/>
        <v>Canadá</v>
      </c>
    </row>
    <row r="38" spans="1:11" x14ac:dyDescent="0.25">
      <c r="A38" s="10" t="s">
        <v>97</v>
      </c>
      <c r="B38" t="s">
        <v>1192</v>
      </c>
      <c r="C38" s="10">
        <v>2E-3</v>
      </c>
      <c r="D38" s="11">
        <v>0.503</v>
      </c>
      <c r="E38" s="11">
        <v>0.495</v>
      </c>
      <c r="F38">
        <v>679</v>
      </c>
      <c r="G38" t="s">
        <v>1193</v>
      </c>
      <c r="H38" t="s">
        <v>1194</v>
      </c>
      <c r="I38">
        <v>50</v>
      </c>
      <c r="K38" t="str">
        <f t="shared" si="0"/>
        <v>Catar</v>
      </c>
    </row>
    <row r="39" spans="1:11" x14ac:dyDescent="0.25">
      <c r="A39" s="10" t="s">
        <v>186</v>
      </c>
      <c r="B39" t="s">
        <v>1195</v>
      </c>
      <c r="C39" s="10">
        <v>0.52300000000000002</v>
      </c>
      <c r="D39" s="11">
        <v>0.14699999999999999</v>
      </c>
      <c r="E39" s="11">
        <v>0.33100000000000002</v>
      </c>
      <c r="F39" t="s">
        <v>1196</v>
      </c>
      <c r="G39">
        <v>4207</v>
      </c>
      <c r="H39">
        <v>9473</v>
      </c>
      <c r="I39">
        <v>130</v>
      </c>
      <c r="K39" t="str">
        <f t="shared" si="0"/>
        <v>Chad</v>
      </c>
    </row>
    <row r="40" spans="1:11" x14ac:dyDescent="0.25">
      <c r="A40" s="10" t="s">
        <v>75</v>
      </c>
      <c r="B40" t="s">
        <v>1197</v>
      </c>
      <c r="C40" s="10">
        <v>4.2000000000000003E-2</v>
      </c>
      <c r="D40" s="11">
        <v>0.32800000000000001</v>
      </c>
      <c r="E40" s="11">
        <v>0.63</v>
      </c>
      <c r="F40" t="s">
        <v>1198</v>
      </c>
      <c r="G40" t="s">
        <v>1199</v>
      </c>
      <c r="H40" t="s">
        <v>1200</v>
      </c>
      <c r="I40">
        <v>42</v>
      </c>
      <c r="K40" t="str">
        <f t="shared" si="0"/>
        <v>Chile</v>
      </c>
    </row>
    <row r="41" spans="1:11" x14ac:dyDescent="0.25">
      <c r="A41" s="10" t="s">
        <v>170</v>
      </c>
      <c r="B41" t="s">
        <v>1201</v>
      </c>
      <c r="C41" s="10">
        <v>7.9000000000000001E-2</v>
      </c>
      <c r="D41" s="11">
        <v>0.40500000000000003</v>
      </c>
      <c r="E41" s="11">
        <v>0.51600000000000001</v>
      </c>
      <c r="F41" t="s">
        <v>1202</v>
      </c>
      <c r="G41" t="s">
        <v>1203</v>
      </c>
      <c r="H41" t="s">
        <v>1204</v>
      </c>
      <c r="I41">
        <v>1</v>
      </c>
      <c r="K41" t="str">
        <f t="shared" si="0"/>
        <v>China</v>
      </c>
    </row>
    <row r="42" spans="1:11" x14ac:dyDescent="0.25">
      <c r="A42" s="10" t="s">
        <v>136</v>
      </c>
      <c r="B42" t="s">
        <v>1205</v>
      </c>
      <c r="C42" s="10">
        <v>0.02</v>
      </c>
      <c r="D42" s="11">
        <v>0.125</v>
      </c>
      <c r="E42" s="11">
        <v>0.85499999999999998</v>
      </c>
      <c r="F42">
        <v>636</v>
      </c>
      <c r="G42">
        <v>3973</v>
      </c>
      <c r="H42" t="s">
        <v>1206</v>
      </c>
      <c r="I42">
        <v>125</v>
      </c>
      <c r="K42" t="str">
        <f t="shared" si="0"/>
        <v>Chipre</v>
      </c>
    </row>
    <row r="43" spans="1:11" x14ac:dyDescent="0.25">
      <c r="A43" s="10" t="s">
        <v>87</v>
      </c>
      <c r="B43" t="s">
        <v>1207</v>
      </c>
      <c r="C43" s="10">
        <v>7.1999999999999995E-2</v>
      </c>
      <c r="D43" s="11">
        <v>0.308</v>
      </c>
      <c r="E43" s="11">
        <v>0.621</v>
      </c>
      <c r="F43" t="s">
        <v>1208</v>
      </c>
      <c r="G43" t="s">
        <v>1209</v>
      </c>
      <c r="H43" t="s">
        <v>1210</v>
      </c>
      <c r="I43">
        <v>30</v>
      </c>
      <c r="K43" t="str">
        <f t="shared" si="0"/>
        <v>Colombia</v>
      </c>
    </row>
    <row r="44" spans="1:11" x14ac:dyDescent="0.25">
      <c r="A44" s="10" t="s">
        <v>137</v>
      </c>
      <c r="B44">
        <v>1319</v>
      </c>
      <c r="C44" s="10">
        <v>0.47699999999999998</v>
      </c>
      <c r="D44" s="11">
        <v>0.11799999999999999</v>
      </c>
      <c r="E44" s="11">
        <v>0.40500000000000003</v>
      </c>
      <c r="F44">
        <v>629</v>
      </c>
      <c r="G44">
        <v>156</v>
      </c>
      <c r="H44">
        <v>534</v>
      </c>
      <c r="I44">
        <v>180</v>
      </c>
      <c r="K44" t="str">
        <f t="shared" si="0"/>
        <v>Comoras</v>
      </c>
    </row>
    <row r="45" spans="1:11" x14ac:dyDescent="0.25">
      <c r="A45" s="10" t="s">
        <v>110</v>
      </c>
      <c r="B45" t="s">
        <v>1211</v>
      </c>
      <c r="C45" s="10">
        <v>0.22500000000000001</v>
      </c>
      <c r="D45" s="11">
        <v>0.47599999999999998</v>
      </c>
      <c r="E45" s="11">
        <v>0.29899999999999999</v>
      </c>
      <c r="F45">
        <v>9000</v>
      </c>
      <c r="G45" t="s">
        <v>1212</v>
      </c>
      <c r="H45" t="s">
        <v>1213</v>
      </c>
      <c r="I45">
        <v>113</v>
      </c>
      <c r="K45" t="str">
        <f t="shared" si="0"/>
        <v>Corea del Norte</v>
      </c>
    </row>
    <row r="46" spans="1:11" x14ac:dyDescent="0.25">
      <c r="A46" s="10" t="s">
        <v>26</v>
      </c>
      <c r="B46" t="s">
        <v>1214</v>
      </c>
      <c r="C46" s="10">
        <v>2.1999999999999999E-2</v>
      </c>
      <c r="D46" s="11">
        <v>0.39300000000000002</v>
      </c>
      <c r="E46" s="11">
        <v>0.58299999999999996</v>
      </c>
      <c r="F46" t="s">
        <v>1215</v>
      </c>
      <c r="G46" t="s">
        <v>1216</v>
      </c>
      <c r="H46" t="s">
        <v>1217</v>
      </c>
      <c r="I46">
        <v>14</v>
      </c>
      <c r="K46" t="str">
        <f t="shared" si="0"/>
        <v>Corea del Sur</v>
      </c>
    </row>
    <row r="47" spans="1:11" x14ac:dyDescent="0.25">
      <c r="A47" s="10" t="s">
        <v>200</v>
      </c>
      <c r="B47" t="s">
        <v>1218</v>
      </c>
      <c r="C47" s="10">
        <v>0.20100000000000001</v>
      </c>
      <c r="D47" s="11">
        <v>0.26600000000000001</v>
      </c>
      <c r="E47" s="11">
        <v>0.53300000000000003</v>
      </c>
      <c r="F47" t="s">
        <v>1219</v>
      </c>
      <c r="G47" t="s">
        <v>1220</v>
      </c>
      <c r="H47" t="s">
        <v>1221</v>
      </c>
      <c r="I47">
        <v>83</v>
      </c>
      <c r="K47" t="str">
        <f t="shared" si="0"/>
        <v>Costa de Marfil</v>
      </c>
    </row>
    <row r="48" spans="1:11" x14ac:dyDescent="0.25">
      <c r="A48" s="10" t="s">
        <v>160</v>
      </c>
      <c r="B48" t="s">
        <v>1222</v>
      </c>
      <c r="C48" s="10">
        <v>5.5E-2</v>
      </c>
      <c r="D48" s="11">
        <v>0.20599999999999999</v>
      </c>
      <c r="E48" s="11">
        <v>0.73899999999999999</v>
      </c>
      <c r="F48">
        <v>4617</v>
      </c>
      <c r="G48" t="s">
        <v>1223</v>
      </c>
      <c r="H48" t="s">
        <v>1224</v>
      </c>
      <c r="I48">
        <v>90</v>
      </c>
      <c r="K48" t="str">
        <f t="shared" si="0"/>
        <v>Costa Rica</v>
      </c>
    </row>
    <row r="49" spans="1:11" x14ac:dyDescent="0.25">
      <c r="A49" s="10" t="s">
        <v>117</v>
      </c>
      <c r="B49" t="s">
        <v>1225</v>
      </c>
      <c r="C49" s="10">
        <v>3.6999999999999998E-2</v>
      </c>
      <c r="D49" s="11">
        <v>0.26200000000000001</v>
      </c>
      <c r="E49" s="11">
        <v>0.70099999999999996</v>
      </c>
      <c r="F49">
        <v>3778</v>
      </c>
      <c r="G49" t="s">
        <v>1226</v>
      </c>
      <c r="H49" t="s">
        <v>1227</v>
      </c>
      <c r="I49">
        <v>82</v>
      </c>
      <c r="K49" t="str">
        <f t="shared" si="0"/>
        <v>Croacia</v>
      </c>
    </row>
    <row r="50" spans="1:11" x14ac:dyDescent="0.25">
      <c r="A50" s="10" t="s">
        <v>54</v>
      </c>
      <c r="B50" t="s">
        <v>1228</v>
      </c>
      <c r="C50" s="10">
        <v>0.04</v>
      </c>
      <c r="D50" s="11">
        <v>0.22700000000000001</v>
      </c>
      <c r="E50" s="11">
        <v>0.73399999999999999</v>
      </c>
      <c r="F50">
        <v>5480</v>
      </c>
      <c r="G50" t="s">
        <v>1229</v>
      </c>
      <c r="H50" t="s">
        <v>1230</v>
      </c>
      <c r="I50">
        <v>77</v>
      </c>
      <c r="K50" t="str">
        <f t="shared" si="0"/>
        <v>Cuba</v>
      </c>
    </row>
    <row r="51" spans="1:11" x14ac:dyDescent="0.25">
      <c r="A51" s="10" t="s">
        <v>102</v>
      </c>
      <c r="B51" t="s">
        <v>1231</v>
      </c>
      <c r="C51" s="10">
        <v>1.2999999999999999E-2</v>
      </c>
      <c r="D51" s="11">
        <v>0.22900000000000001</v>
      </c>
      <c r="E51" s="11">
        <v>0.75800000000000001</v>
      </c>
      <c r="F51">
        <v>3741</v>
      </c>
      <c r="G51" t="s">
        <v>1232</v>
      </c>
      <c r="H51" t="s">
        <v>1233</v>
      </c>
      <c r="I51">
        <v>58</v>
      </c>
      <c r="K51" t="str">
        <f t="shared" si="0"/>
        <v>Dinamarca</v>
      </c>
    </row>
    <row r="52" spans="1:11" x14ac:dyDescent="0.25">
      <c r="A52" s="10" t="s">
        <v>159</v>
      </c>
      <c r="B52">
        <v>783</v>
      </c>
      <c r="C52" s="10">
        <v>0.223</v>
      </c>
      <c r="D52" s="11">
        <v>0.126</v>
      </c>
      <c r="E52" s="11">
        <v>0.65100000000000002</v>
      </c>
      <c r="F52">
        <v>175</v>
      </c>
      <c r="G52">
        <v>99</v>
      </c>
      <c r="H52">
        <v>510</v>
      </c>
      <c r="I52">
        <v>183</v>
      </c>
      <c r="K52" t="str">
        <f t="shared" si="0"/>
        <v>Dominica</v>
      </c>
    </row>
    <row r="53" spans="1:11" x14ac:dyDescent="0.25">
      <c r="A53" s="10" t="s">
        <v>134</v>
      </c>
      <c r="B53" t="s">
        <v>1234</v>
      </c>
      <c r="C53" s="10">
        <v>6.7000000000000004E-2</v>
      </c>
      <c r="D53" s="11">
        <v>0.32900000000000001</v>
      </c>
      <c r="E53" s="11">
        <v>0.60399999999999998</v>
      </c>
      <c r="F53" t="s">
        <v>1235</v>
      </c>
      <c r="G53" t="s">
        <v>1236</v>
      </c>
      <c r="H53" t="s">
        <v>1237</v>
      </c>
      <c r="I53">
        <v>64</v>
      </c>
      <c r="K53" t="str">
        <f t="shared" si="0"/>
        <v>Ecuador</v>
      </c>
    </row>
    <row r="54" spans="1:11" x14ac:dyDescent="0.25">
      <c r="A54" s="10" t="s">
        <v>154</v>
      </c>
      <c r="B54" t="s">
        <v>1238</v>
      </c>
      <c r="C54" s="10">
        <v>0.11700000000000001</v>
      </c>
      <c r="D54" s="11">
        <v>0.34300000000000003</v>
      </c>
      <c r="E54" s="11">
        <v>0.54</v>
      </c>
      <c r="F54" t="s">
        <v>1239</v>
      </c>
      <c r="G54" t="s">
        <v>1240</v>
      </c>
      <c r="H54" t="s">
        <v>1241</v>
      </c>
      <c r="I54">
        <v>21</v>
      </c>
      <c r="K54" t="str">
        <f t="shared" si="0"/>
        <v>Egipto</v>
      </c>
    </row>
    <row r="55" spans="1:11" x14ac:dyDescent="0.25">
      <c r="A55" s="10" t="s">
        <v>131</v>
      </c>
      <c r="B55" t="s">
        <v>1242</v>
      </c>
      <c r="C55" s="10">
        <v>0.12</v>
      </c>
      <c r="D55" s="11">
        <v>0.27700000000000002</v>
      </c>
      <c r="E55" s="11">
        <v>0.60299999999999998</v>
      </c>
      <c r="F55">
        <v>6140</v>
      </c>
      <c r="G55" t="s">
        <v>1243</v>
      </c>
      <c r="H55" t="s">
        <v>1244</v>
      </c>
      <c r="I55">
        <v>105</v>
      </c>
      <c r="K55" t="str">
        <f t="shared" si="0"/>
        <v>El Salvador</v>
      </c>
    </row>
    <row r="56" spans="1:11" x14ac:dyDescent="0.25">
      <c r="A56" s="10" t="s">
        <v>190</v>
      </c>
      <c r="B56" t="s">
        <v>1245</v>
      </c>
      <c r="C56" s="10">
        <v>8.9999999999999993E-3</v>
      </c>
      <c r="D56" s="11">
        <v>0.498</v>
      </c>
      <c r="E56" s="11">
        <v>0.49199999999999999</v>
      </c>
      <c r="F56">
        <v>6264</v>
      </c>
      <c r="G56" t="s">
        <v>1246</v>
      </c>
      <c r="H56" t="s">
        <v>1247</v>
      </c>
      <c r="I56">
        <v>31</v>
      </c>
      <c r="K56" t="str">
        <f t="shared" si="0"/>
        <v>Emiratos Árabes Unidos</v>
      </c>
    </row>
    <row r="57" spans="1:11" x14ac:dyDescent="0.25">
      <c r="A57" s="10" t="s">
        <v>98</v>
      </c>
      <c r="B57">
        <v>9402</v>
      </c>
      <c r="C57" s="10">
        <v>0.11700000000000001</v>
      </c>
      <c r="D57" s="11">
        <v>0.29599999999999999</v>
      </c>
      <c r="E57" s="11">
        <v>0.58699999999999997</v>
      </c>
      <c r="F57">
        <v>1100</v>
      </c>
      <c r="G57">
        <v>2783</v>
      </c>
      <c r="H57">
        <v>5519</v>
      </c>
      <c r="I57">
        <v>153</v>
      </c>
      <c r="K57" t="str">
        <f t="shared" si="0"/>
        <v>Eritrea</v>
      </c>
    </row>
    <row r="58" spans="1:11" x14ac:dyDescent="0.25">
      <c r="A58" s="10" t="s">
        <v>20</v>
      </c>
      <c r="B58" t="s">
        <v>1248</v>
      </c>
      <c r="C58" s="10">
        <v>3.7999999999999999E-2</v>
      </c>
      <c r="D58" s="11">
        <v>0.35</v>
      </c>
      <c r="E58" s="11">
        <v>0.61199999999999999</v>
      </c>
      <c r="F58">
        <v>6829</v>
      </c>
      <c r="G58" t="s">
        <v>1249</v>
      </c>
      <c r="H58" t="s">
        <v>1250</v>
      </c>
      <c r="I58">
        <v>67</v>
      </c>
      <c r="K58" t="str">
        <f t="shared" si="0"/>
        <v>Eslovaquia</v>
      </c>
    </row>
    <row r="59" spans="1:11" x14ac:dyDescent="0.25">
      <c r="A59" s="10" t="s">
        <v>27</v>
      </c>
      <c r="B59" t="s">
        <v>1251</v>
      </c>
      <c r="C59" s="10">
        <v>1.7999999999999999E-2</v>
      </c>
      <c r="D59" s="11">
        <v>0.32200000000000001</v>
      </c>
      <c r="E59" s="11">
        <v>0.65900000000000003</v>
      </c>
      <c r="F59">
        <v>1282</v>
      </c>
      <c r="G59" t="s">
        <v>1252</v>
      </c>
      <c r="H59" t="s">
        <v>1253</v>
      </c>
      <c r="I59">
        <v>95</v>
      </c>
      <c r="K59" t="str">
        <f t="shared" si="0"/>
        <v>Eslovenia</v>
      </c>
    </row>
    <row r="60" spans="1:11" x14ac:dyDescent="0.25">
      <c r="A60" s="10" t="s">
        <v>95</v>
      </c>
      <c r="B60" t="s">
        <v>1254</v>
      </c>
      <c r="C60" s="10">
        <v>2.5999999999999999E-2</v>
      </c>
      <c r="D60" s="11">
        <v>0.23200000000000001</v>
      </c>
      <c r="E60" s="11">
        <v>0.74199999999999999</v>
      </c>
      <c r="F60" t="s">
        <v>1255</v>
      </c>
      <c r="G60" t="s">
        <v>1256</v>
      </c>
      <c r="H60" t="s">
        <v>1257</v>
      </c>
      <c r="I60">
        <v>15</v>
      </c>
      <c r="K60" t="str">
        <f t="shared" si="0"/>
        <v>España</v>
      </c>
    </row>
    <row r="61" spans="1:11" x14ac:dyDescent="0.25">
      <c r="A61" s="10" t="s">
        <v>1847</v>
      </c>
      <c r="B61">
        <v>348</v>
      </c>
      <c r="C61" s="10">
        <v>0.26300000000000001</v>
      </c>
      <c r="D61" s="11">
        <v>0.189</v>
      </c>
      <c r="E61" s="11">
        <v>0.54800000000000004</v>
      </c>
      <c r="F61">
        <v>92</v>
      </c>
      <c r="G61">
        <v>66</v>
      </c>
      <c r="H61">
        <v>191</v>
      </c>
      <c r="I61">
        <v>187</v>
      </c>
      <c r="K61" t="str">
        <f t="shared" si="0"/>
        <v>Estados Federados de Micronesia</v>
      </c>
    </row>
    <row r="62" spans="1:11" x14ac:dyDescent="0.25">
      <c r="A62" s="10" t="s">
        <v>69</v>
      </c>
      <c r="B62" t="s">
        <v>1258</v>
      </c>
      <c r="C62" s="10">
        <v>8.9999999999999993E-3</v>
      </c>
      <c r="D62" s="11">
        <v>0.191</v>
      </c>
      <c r="E62" s="11">
        <v>0.8</v>
      </c>
      <c r="F62" t="s">
        <v>1259</v>
      </c>
      <c r="G62" t="s">
        <v>1260</v>
      </c>
      <c r="H62" t="s">
        <v>1261</v>
      </c>
      <c r="I62">
        <v>2</v>
      </c>
      <c r="K62" t="str">
        <f t="shared" si="0"/>
        <v>Estados Unidos</v>
      </c>
    </row>
    <row r="63" spans="1:11" x14ac:dyDescent="0.25">
      <c r="A63" s="10" t="s">
        <v>13</v>
      </c>
      <c r="B63" t="s">
        <v>1262</v>
      </c>
      <c r="C63" s="10">
        <v>2.8000000000000001E-2</v>
      </c>
      <c r="D63" s="11">
        <v>0.29199999999999998</v>
      </c>
      <c r="E63" s="11">
        <v>0.68100000000000005</v>
      </c>
      <c r="F63">
        <v>1166</v>
      </c>
      <c r="G63" t="s">
        <v>1263</v>
      </c>
      <c r="H63" t="s">
        <v>1264</v>
      </c>
      <c r="I63">
        <v>111</v>
      </c>
      <c r="K63" t="str">
        <f t="shared" si="0"/>
        <v>Estonia</v>
      </c>
    </row>
    <row r="64" spans="1:11" x14ac:dyDescent="0.25">
      <c r="A64" s="10" t="s">
        <v>218</v>
      </c>
      <c r="B64" t="s">
        <v>1265</v>
      </c>
      <c r="C64" s="10">
        <v>0.34799999999999998</v>
      </c>
      <c r="D64" s="11">
        <v>0.216</v>
      </c>
      <c r="E64" s="11">
        <v>0.436</v>
      </c>
      <c r="F64" t="s">
        <v>1266</v>
      </c>
      <c r="G64" t="s">
        <v>1267</v>
      </c>
      <c r="H64" t="s">
        <v>1268</v>
      </c>
      <c r="I64">
        <v>62</v>
      </c>
      <c r="K64" t="str">
        <f t="shared" si="0"/>
        <v>Etiopía</v>
      </c>
    </row>
    <row r="65" spans="1:11" x14ac:dyDescent="0.25">
      <c r="A65" s="10" t="s">
        <v>155</v>
      </c>
      <c r="B65" t="s">
        <v>1269</v>
      </c>
      <c r="C65" s="10">
        <v>9.6000000000000002E-2</v>
      </c>
      <c r="D65" s="11">
        <v>0.30599999999999999</v>
      </c>
      <c r="E65" s="11">
        <v>0.59799999999999998</v>
      </c>
      <c r="F65" t="s">
        <v>1270</v>
      </c>
      <c r="G65" t="s">
        <v>1271</v>
      </c>
      <c r="H65" t="s">
        <v>1272</v>
      </c>
      <c r="I65">
        <v>28</v>
      </c>
      <c r="K65" t="str">
        <f t="shared" si="0"/>
        <v>Filipinas</v>
      </c>
    </row>
    <row r="66" spans="1:11" x14ac:dyDescent="0.25">
      <c r="A66" s="10" t="s">
        <v>3</v>
      </c>
      <c r="B66" t="s">
        <v>1273</v>
      </c>
      <c r="C66" s="10">
        <v>2.7E-2</v>
      </c>
      <c r="D66" s="11">
        <v>0.28199999999999997</v>
      </c>
      <c r="E66" s="11">
        <v>0.69099999999999995</v>
      </c>
      <c r="F66">
        <v>6612</v>
      </c>
      <c r="G66" t="s">
        <v>1274</v>
      </c>
      <c r="H66" t="s">
        <v>1275</v>
      </c>
      <c r="I66">
        <v>60</v>
      </c>
      <c r="K66" t="str">
        <f t="shared" si="0"/>
        <v>Finlandia</v>
      </c>
    </row>
    <row r="67" spans="1:11" x14ac:dyDescent="0.25">
      <c r="A67" s="10" t="s">
        <v>118</v>
      </c>
      <c r="B67">
        <v>8629</v>
      </c>
      <c r="C67" s="10">
        <v>0.13500000000000001</v>
      </c>
      <c r="D67" s="11">
        <v>0.17399999999999999</v>
      </c>
      <c r="E67" s="11">
        <v>0.69099999999999995</v>
      </c>
      <c r="F67">
        <v>1165</v>
      </c>
      <c r="G67">
        <v>1501</v>
      </c>
      <c r="H67">
        <v>5963</v>
      </c>
      <c r="I67">
        <v>155</v>
      </c>
      <c r="K67" t="str">
        <f t="shared" ref="K67:K130" si="1">(TRIM(SUBSTITUTE(A67,CHAR(160),"")))</f>
        <v>Fiyi</v>
      </c>
    </row>
    <row r="68" spans="1:11" x14ac:dyDescent="0.25">
      <c r="A68" s="10" t="s">
        <v>23</v>
      </c>
      <c r="B68" t="s">
        <v>1276</v>
      </c>
      <c r="C68" s="10">
        <v>1.7000000000000001E-2</v>
      </c>
      <c r="D68" s="11">
        <v>0.19500000000000001</v>
      </c>
      <c r="E68" s="11">
        <v>0.78800000000000003</v>
      </c>
      <c r="F68" t="s">
        <v>1277</v>
      </c>
      <c r="G68" t="s">
        <v>1278</v>
      </c>
      <c r="H68" t="s">
        <v>1279</v>
      </c>
      <c r="I68">
        <v>10</v>
      </c>
      <c r="K68" t="str">
        <f t="shared" si="1"/>
        <v>Francia</v>
      </c>
    </row>
    <row r="69" spans="1:11" x14ac:dyDescent="0.25">
      <c r="A69" s="10" t="s">
        <v>84</v>
      </c>
      <c r="B69" t="s">
        <v>1280</v>
      </c>
      <c r="C69" s="10">
        <v>0.05</v>
      </c>
      <c r="D69" s="11">
        <v>0.44700000000000001</v>
      </c>
      <c r="E69" s="11">
        <v>0.504</v>
      </c>
      <c r="F69">
        <v>1833</v>
      </c>
      <c r="G69" t="s">
        <v>1281</v>
      </c>
      <c r="H69" t="s">
        <v>1282</v>
      </c>
      <c r="I69">
        <v>119</v>
      </c>
      <c r="K69" t="str">
        <f t="shared" si="1"/>
        <v>Gabón</v>
      </c>
    </row>
    <row r="70" spans="1:11" x14ac:dyDescent="0.25">
      <c r="A70" s="10" t="s">
        <v>194</v>
      </c>
      <c r="B70">
        <v>5556</v>
      </c>
      <c r="C70" s="10">
        <v>0.20399999999999999</v>
      </c>
      <c r="D70" s="11">
        <v>0.14199999999999999</v>
      </c>
      <c r="E70" s="11">
        <v>0.65400000000000003</v>
      </c>
      <c r="F70">
        <v>1133</v>
      </c>
      <c r="G70">
        <v>789</v>
      </c>
      <c r="H70">
        <v>3634</v>
      </c>
      <c r="I70">
        <v>164</v>
      </c>
      <c r="K70" t="str">
        <f t="shared" si="1"/>
        <v>Gambia</v>
      </c>
    </row>
    <row r="71" spans="1:11" x14ac:dyDescent="0.25">
      <c r="A71" s="10" t="s">
        <v>209</v>
      </c>
      <c r="B71" t="s">
        <v>1283</v>
      </c>
      <c r="C71" s="10">
        <v>8.2000000000000003E-2</v>
      </c>
      <c r="D71" s="11">
        <v>0.23699999999999999</v>
      </c>
      <c r="E71" s="11">
        <v>0.67900000000000005</v>
      </c>
      <c r="F71">
        <v>3268</v>
      </c>
      <c r="G71">
        <v>9444</v>
      </c>
      <c r="H71" t="s">
        <v>1284</v>
      </c>
      <c r="I71">
        <v>114</v>
      </c>
      <c r="K71" t="str">
        <f t="shared" si="1"/>
        <v>Georgia</v>
      </c>
    </row>
    <row r="72" spans="1:11" x14ac:dyDescent="0.25">
      <c r="A72" s="10" t="s">
        <v>193</v>
      </c>
      <c r="B72" t="s">
        <v>1285</v>
      </c>
      <c r="C72" s="10">
        <v>0.183</v>
      </c>
      <c r="D72" s="11">
        <v>0.245</v>
      </c>
      <c r="E72" s="11">
        <v>0.57199999999999995</v>
      </c>
      <c r="F72" t="s">
        <v>1286</v>
      </c>
      <c r="G72" t="s">
        <v>1287</v>
      </c>
      <c r="H72" t="s">
        <v>1288</v>
      </c>
      <c r="I72">
        <v>78</v>
      </c>
      <c r="K72" t="str">
        <f t="shared" si="1"/>
        <v>Ghana</v>
      </c>
    </row>
    <row r="73" spans="1:11" x14ac:dyDescent="0.25">
      <c r="A73" s="10" t="s">
        <v>1684</v>
      </c>
      <c r="B73">
        <v>2044</v>
      </c>
      <c r="C73" s="10">
        <v>0</v>
      </c>
      <c r="D73" s="11">
        <v>0</v>
      </c>
      <c r="E73" s="11">
        <v>1</v>
      </c>
      <c r="F73">
        <v>0</v>
      </c>
      <c r="G73">
        <v>0</v>
      </c>
      <c r="H73">
        <v>2044</v>
      </c>
      <c r="I73" t="s">
        <v>1148</v>
      </c>
      <c r="K73" t="str">
        <f t="shared" si="1"/>
        <v>Gibraltar</v>
      </c>
    </row>
    <row r="74" spans="1:11" x14ac:dyDescent="0.25">
      <c r="A74" s="10" t="s">
        <v>156</v>
      </c>
      <c r="B74">
        <v>1634</v>
      </c>
      <c r="C74" s="10">
        <v>6.8000000000000005E-2</v>
      </c>
      <c r="D74" s="11">
        <v>0.155</v>
      </c>
      <c r="E74" s="11">
        <v>0.77700000000000002</v>
      </c>
      <c r="F74">
        <v>111</v>
      </c>
      <c r="G74">
        <v>253</v>
      </c>
      <c r="H74">
        <v>1270</v>
      </c>
      <c r="I74">
        <v>177</v>
      </c>
      <c r="K74" t="str">
        <f t="shared" si="1"/>
        <v>Granada</v>
      </c>
    </row>
    <row r="75" spans="1:11" x14ac:dyDescent="0.25">
      <c r="A75" s="10" t="s">
        <v>65</v>
      </c>
      <c r="B75" t="s">
        <v>1289</v>
      </c>
      <c r="C75" s="10">
        <v>4.1000000000000002E-2</v>
      </c>
      <c r="D75" s="11">
        <v>0.16900000000000001</v>
      </c>
      <c r="E75" s="11">
        <v>0.79100000000000004</v>
      </c>
      <c r="F75" t="s">
        <v>1290</v>
      </c>
      <c r="G75" t="s">
        <v>1291</v>
      </c>
      <c r="H75" t="s">
        <v>1292</v>
      </c>
      <c r="I75">
        <v>54</v>
      </c>
      <c r="K75" t="str">
        <f t="shared" si="1"/>
        <v>Grecia</v>
      </c>
    </row>
    <row r="76" spans="1:11" x14ac:dyDescent="0.25">
      <c r="A76" s="10" t="s">
        <v>21</v>
      </c>
      <c r="B76">
        <v>2413</v>
      </c>
      <c r="C76" s="10">
        <v>0.159</v>
      </c>
      <c r="D76" s="11">
        <v>0.10100000000000001</v>
      </c>
      <c r="E76" s="11">
        <v>0.73899999999999999</v>
      </c>
      <c r="F76">
        <v>384</v>
      </c>
      <c r="G76">
        <v>244</v>
      </c>
      <c r="H76">
        <v>1783</v>
      </c>
      <c r="I76" t="s">
        <v>1148</v>
      </c>
      <c r="K76" t="str">
        <f t="shared" si="1"/>
        <v>Groenlandia</v>
      </c>
    </row>
    <row r="77" spans="1:11" x14ac:dyDescent="0.25">
      <c r="A77" s="10" t="s">
        <v>144</v>
      </c>
      <c r="B77" t="s">
        <v>1293</v>
      </c>
      <c r="C77" s="10">
        <v>0.13300000000000001</v>
      </c>
      <c r="D77" s="11">
        <v>0.23400000000000001</v>
      </c>
      <c r="E77" s="11">
        <v>0.63200000000000001</v>
      </c>
      <c r="F77" t="s">
        <v>1294</v>
      </c>
      <c r="G77" t="s">
        <v>1295</v>
      </c>
      <c r="H77" t="s">
        <v>1296</v>
      </c>
      <c r="I77">
        <v>75</v>
      </c>
      <c r="K77" t="str">
        <f t="shared" si="1"/>
        <v>Guatemala</v>
      </c>
    </row>
    <row r="78" spans="1:11" x14ac:dyDescent="0.25">
      <c r="A78" s="10" t="s">
        <v>201</v>
      </c>
      <c r="B78" t="s">
        <v>1141</v>
      </c>
      <c r="C78" s="10">
        <v>0.19800000000000001</v>
      </c>
      <c r="D78" s="11">
        <v>0.32100000000000001</v>
      </c>
      <c r="E78" s="11">
        <v>0.48099999999999998</v>
      </c>
      <c r="F78">
        <v>5538</v>
      </c>
      <c r="G78">
        <v>8978</v>
      </c>
      <c r="H78" t="s">
        <v>1297</v>
      </c>
      <c r="I78">
        <v>134</v>
      </c>
      <c r="K78" t="str">
        <f t="shared" si="1"/>
        <v>Guinea</v>
      </c>
    </row>
    <row r="79" spans="1:11" x14ac:dyDescent="0.25">
      <c r="A79" s="10" t="s">
        <v>198</v>
      </c>
      <c r="B79" t="s">
        <v>1298</v>
      </c>
      <c r="C79" s="10">
        <v>2.5000000000000001E-2</v>
      </c>
      <c r="D79" s="11">
        <v>0.54600000000000004</v>
      </c>
      <c r="E79" s="11">
        <v>0.42899999999999999</v>
      </c>
      <c r="F79">
        <v>788</v>
      </c>
      <c r="G79" t="s">
        <v>1299</v>
      </c>
      <c r="H79" t="s">
        <v>1300</v>
      </c>
      <c r="I79">
        <v>126</v>
      </c>
      <c r="K79" t="str">
        <f t="shared" si="1"/>
        <v>Guinea Ecuatorial</v>
      </c>
    </row>
    <row r="80" spans="1:11" x14ac:dyDescent="0.25">
      <c r="A80" s="10" t="s">
        <v>183</v>
      </c>
      <c r="B80">
        <v>3171</v>
      </c>
      <c r="C80" s="10">
        <v>0.5</v>
      </c>
      <c r="D80" s="11">
        <v>0.13100000000000001</v>
      </c>
      <c r="E80" s="11">
        <v>0.36899999999999999</v>
      </c>
      <c r="F80">
        <v>1586</v>
      </c>
      <c r="G80">
        <v>415</v>
      </c>
      <c r="H80">
        <v>1170</v>
      </c>
      <c r="I80">
        <v>172</v>
      </c>
      <c r="K80" t="str">
        <f t="shared" si="1"/>
        <v>Guinea-Bisáu</v>
      </c>
    </row>
    <row r="81" spans="1:11" x14ac:dyDescent="0.25">
      <c r="A81" s="10" t="s">
        <v>62</v>
      </c>
      <c r="B81">
        <v>6301</v>
      </c>
      <c r="C81" s="10">
        <v>0.154</v>
      </c>
      <c r="D81" s="11">
        <v>0.153</v>
      </c>
      <c r="E81" s="11">
        <v>0.69299999999999995</v>
      </c>
      <c r="F81">
        <v>970</v>
      </c>
      <c r="G81">
        <v>964</v>
      </c>
      <c r="H81">
        <v>4367</v>
      </c>
      <c r="I81">
        <v>162</v>
      </c>
      <c r="K81" t="str">
        <f t="shared" si="1"/>
        <v>Guyana</v>
      </c>
    </row>
    <row r="82" spans="1:11" x14ac:dyDescent="0.25">
      <c r="A82" s="10" t="s">
        <v>91</v>
      </c>
      <c r="B82" t="s">
        <v>1301</v>
      </c>
      <c r="C82" s="10">
        <v>0.221</v>
      </c>
      <c r="D82" s="11">
        <v>0.20300000000000001</v>
      </c>
      <c r="E82" s="11">
        <v>0.57599999999999996</v>
      </c>
      <c r="F82">
        <v>4413</v>
      </c>
      <c r="G82">
        <v>4054</v>
      </c>
      <c r="H82" t="s">
        <v>1302</v>
      </c>
      <c r="I82">
        <v>144</v>
      </c>
      <c r="K82" t="str">
        <f t="shared" si="1"/>
        <v>Haití</v>
      </c>
    </row>
    <row r="83" spans="1:11" x14ac:dyDescent="0.25">
      <c r="A83" s="10" t="s">
        <v>132</v>
      </c>
      <c r="B83" t="s">
        <v>1303</v>
      </c>
      <c r="C83" s="10">
        <v>0.14199999999999999</v>
      </c>
      <c r="D83" s="11">
        <v>0.28799999999999998</v>
      </c>
      <c r="E83" s="11">
        <v>0.56999999999999995</v>
      </c>
      <c r="F83">
        <v>6575</v>
      </c>
      <c r="G83" t="s">
        <v>1304</v>
      </c>
      <c r="H83" t="s">
        <v>1305</v>
      </c>
      <c r="I83">
        <v>108</v>
      </c>
      <c r="K83" t="str">
        <f t="shared" si="1"/>
        <v>Honduras</v>
      </c>
    </row>
    <row r="84" spans="1:11" x14ac:dyDescent="0.25">
      <c r="A84" s="10" t="s">
        <v>124</v>
      </c>
      <c r="B84" t="s">
        <v>1306</v>
      </c>
      <c r="C84" s="10">
        <v>1E-3</v>
      </c>
      <c r="D84" s="11">
        <v>7.5999999999999998E-2</v>
      </c>
      <c r="E84" s="11">
        <v>0.92300000000000004</v>
      </c>
      <c r="F84">
        <v>456</v>
      </c>
      <c r="G84" t="s">
        <v>1307</v>
      </c>
      <c r="H84" t="s">
        <v>1308</v>
      </c>
      <c r="I84" t="s">
        <v>1148</v>
      </c>
      <c r="K84" t="str">
        <f t="shared" si="1"/>
        <v>Hong Kong</v>
      </c>
    </row>
    <row r="85" spans="1:11" x14ac:dyDescent="0.25">
      <c r="A85" s="10" t="s">
        <v>6</v>
      </c>
      <c r="B85" t="s">
        <v>1309</v>
      </c>
      <c r="C85" s="10">
        <v>3.9E-2</v>
      </c>
      <c r="D85" s="11">
        <v>0.313</v>
      </c>
      <c r="E85" s="11">
        <v>0.64800000000000002</v>
      </c>
      <c r="F85" t="s">
        <v>1310</v>
      </c>
      <c r="G85" t="s">
        <v>1311</v>
      </c>
      <c r="H85" t="s">
        <v>1312</v>
      </c>
      <c r="I85">
        <v>57</v>
      </c>
      <c r="K85" t="str">
        <f t="shared" si="1"/>
        <v>Hungría</v>
      </c>
    </row>
    <row r="86" spans="1:11" x14ac:dyDescent="0.25">
      <c r="A86" s="10" t="s">
        <v>212</v>
      </c>
      <c r="B86" t="s">
        <v>1313</v>
      </c>
      <c r="C86" s="10">
        <v>0.154</v>
      </c>
      <c r="D86" s="11">
        <v>0.23</v>
      </c>
      <c r="E86" s="11">
        <v>0.61499999999999999</v>
      </c>
      <c r="F86" t="s">
        <v>1314</v>
      </c>
      <c r="G86" t="s">
        <v>1315</v>
      </c>
      <c r="H86" t="s">
        <v>1316</v>
      </c>
      <c r="I86">
        <v>3</v>
      </c>
      <c r="K86" t="str">
        <f t="shared" si="1"/>
        <v>India</v>
      </c>
    </row>
    <row r="87" spans="1:11" x14ac:dyDescent="0.25">
      <c r="A87" s="10" t="s">
        <v>180</v>
      </c>
      <c r="B87" t="s">
        <v>1317</v>
      </c>
      <c r="C87" s="10">
        <v>0.13700000000000001</v>
      </c>
      <c r="D87" s="11">
        <v>0.41</v>
      </c>
      <c r="E87" s="11">
        <v>0.45400000000000001</v>
      </c>
      <c r="F87" t="s">
        <v>1318</v>
      </c>
      <c r="G87" t="s">
        <v>1319</v>
      </c>
      <c r="H87" t="s">
        <v>1320</v>
      </c>
      <c r="I87">
        <v>7</v>
      </c>
      <c r="K87" t="str">
        <f t="shared" si="1"/>
        <v>Indonesia</v>
      </c>
    </row>
    <row r="88" spans="1:11" x14ac:dyDescent="0.25">
      <c r="A88" s="10" t="s">
        <v>7</v>
      </c>
      <c r="B88" t="s">
        <v>1321</v>
      </c>
      <c r="C88" s="10">
        <v>3.3000000000000002E-2</v>
      </c>
      <c r="D88" s="11">
        <v>0.51</v>
      </c>
      <c r="E88" s="11">
        <v>0.45800000000000002</v>
      </c>
      <c r="F88" t="s">
        <v>1322</v>
      </c>
      <c r="G88" t="s">
        <v>1323</v>
      </c>
      <c r="H88" t="s">
        <v>1324</v>
      </c>
      <c r="I88">
        <v>33</v>
      </c>
      <c r="K88" t="str">
        <f t="shared" si="1"/>
        <v>Irak</v>
      </c>
    </row>
    <row r="89" spans="1:11" x14ac:dyDescent="0.25">
      <c r="A89" s="10" t="s">
        <v>44</v>
      </c>
      <c r="B89" t="s">
        <v>1325</v>
      </c>
      <c r="C89" s="10">
        <v>9.6000000000000002E-2</v>
      </c>
      <c r="D89" s="11">
        <v>0.35299999999999998</v>
      </c>
      <c r="E89" s="11">
        <v>0.55000000000000004</v>
      </c>
      <c r="F89" t="s">
        <v>1326</v>
      </c>
      <c r="G89" t="s">
        <v>1327</v>
      </c>
      <c r="H89" t="s">
        <v>1328</v>
      </c>
      <c r="I89">
        <v>18</v>
      </c>
      <c r="K89" t="str">
        <f t="shared" si="1"/>
        <v>Irán</v>
      </c>
    </row>
    <row r="90" spans="1:11" x14ac:dyDescent="0.25">
      <c r="A90" s="10" t="s">
        <v>58</v>
      </c>
      <c r="B90" t="s">
        <v>1329</v>
      </c>
      <c r="C90" s="10">
        <v>1.2E-2</v>
      </c>
      <c r="D90" s="11">
        <v>0.38600000000000001</v>
      </c>
      <c r="E90" s="11">
        <v>0.60199999999999998</v>
      </c>
      <c r="F90">
        <v>4240</v>
      </c>
      <c r="G90" t="s">
        <v>1330</v>
      </c>
      <c r="H90" t="s">
        <v>1331</v>
      </c>
      <c r="I90">
        <v>49</v>
      </c>
      <c r="K90" t="str">
        <f t="shared" si="1"/>
        <v>Irlanda</v>
      </c>
    </row>
    <row r="91" spans="1:11" x14ac:dyDescent="0.25">
      <c r="A91" s="10" t="s">
        <v>145</v>
      </c>
      <c r="B91">
        <v>6792</v>
      </c>
      <c r="C91" s="10">
        <v>0.01</v>
      </c>
      <c r="D91" s="11">
        <v>0.13</v>
      </c>
      <c r="E91" s="11">
        <v>0.86</v>
      </c>
      <c r="F91">
        <v>68</v>
      </c>
      <c r="G91">
        <v>883</v>
      </c>
      <c r="H91">
        <v>5841</v>
      </c>
      <c r="I91" t="s">
        <v>1148</v>
      </c>
      <c r="K91" t="str">
        <f t="shared" si="1"/>
        <v>Isla de Man</v>
      </c>
    </row>
    <row r="92" spans="1:11" x14ac:dyDescent="0.25">
      <c r="A92" s="10" t="s">
        <v>36</v>
      </c>
      <c r="B92" t="s">
        <v>1332</v>
      </c>
      <c r="C92" s="10">
        <v>5.8000000000000003E-2</v>
      </c>
      <c r="D92" s="11">
        <v>0.19700000000000001</v>
      </c>
      <c r="E92" s="11">
        <v>0.746</v>
      </c>
      <c r="F92">
        <v>1054</v>
      </c>
      <c r="G92">
        <v>3581</v>
      </c>
      <c r="H92" t="s">
        <v>1333</v>
      </c>
      <c r="I92">
        <v>146</v>
      </c>
      <c r="K92" t="str">
        <f t="shared" si="1"/>
        <v>Islandia</v>
      </c>
    </row>
    <row r="93" spans="1:11" x14ac:dyDescent="0.25">
      <c r="A93" s="10" t="s">
        <v>151</v>
      </c>
      <c r="B93">
        <v>2507</v>
      </c>
      <c r="C93" s="10">
        <v>3.0000000000000001E-3</v>
      </c>
      <c r="D93" s="11">
        <v>7.3999999999999996E-2</v>
      </c>
      <c r="E93" s="11">
        <v>0.92300000000000004</v>
      </c>
      <c r="F93">
        <v>8</v>
      </c>
      <c r="G93">
        <v>186</v>
      </c>
      <c r="H93">
        <v>2314</v>
      </c>
      <c r="I93" t="s">
        <v>1148</v>
      </c>
      <c r="K93" t="str">
        <f t="shared" si="1"/>
        <v>Islas Caimán</v>
      </c>
    </row>
    <row r="94" spans="1:11" x14ac:dyDescent="0.25">
      <c r="A94" s="10" t="s">
        <v>82</v>
      </c>
      <c r="B94">
        <v>2001</v>
      </c>
      <c r="C94" s="10">
        <v>0.18</v>
      </c>
      <c r="D94" s="11">
        <v>0.39</v>
      </c>
      <c r="E94" s="11">
        <v>0.43</v>
      </c>
      <c r="F94">
        <v>360</v>
      </c>
      <c r="G94">
        <v>780</v>
      </c>
      <c r="H94">
        <v>860</v>
      </c>
      <c r="I94" t="s">
        <v>1148</v>
      </c>
      <c r="K94" t="str">
        <f t="shared" si="1"/>
        <v>Islas Feroe</v>
      </c>
    </row>
    <row r="95" spans="1:11" x14ac:dyDescent="0.25">
      <c r="A95" s="10" t="s">
        <v>60</v>
      </c>
      <c r="B95">
        <v>1242</v>
      </c>
      <c r="C95" s="10">
        <v>1.7000000000000001E-2</v>
      </c>
      <c r="D95" s="11">
        <v>0.58099999999999996</v>
      </c>
      <c r="E95" s="11">
        <v>0.40200000000000002</v>
      </c>
      <c r="F95">
        <v>21</v>
      </c>
      <c r="G95">
        <v>722</v>
      </c>
      <c r="H95">
        <v>499</v>
      </c>
      <c r="I95" t="s">
        <v>1148</v>
      </c>
      <c r="K95" t="str">
        <f t="shared" si="1"/>
        <v>Islas Marianas del Norte</v>
      </c>
    </row>
    <row r="96" spans="1:11" x14ac:dyDescent="0.25">
      <c r="A96" s="10" t="s">
        <v>88</v>
      </c>
      <c r="B96">
        <v>1330</v>
      </c>
      <c r="C96" s="10">
        <v>0.34300000000000003</v>
      </c>
      <c r="D96" s="11">
        <v>7.5999999999999998E-2</v>
      </c>
      <c r="E96" s="11">
        <v>0.58099999999999996</v>
      </c>
      <c r="F96">
        <v>456</v>
      </c>
      <c r="G96">
        <v>101</v>
      </c>
      <c r="H96">
        <v>773</v>
      </c>
      <c r="I96">
        <v>179</v>
      </c>
      <c r="K96" t="str">
        <f t="shared" si="1"/>
        <v>Islas Salomón</v>
      </c>
    </row>
    <row r="97" spans="1:11" x14ac:dyDescent="0.25">
      <c r="A97" s="10" t="s">
        <v>103</v>
      </c>
      <c r="B97" t="s">
        <v>1334</v>
      </c>
      <c r="C97" s="10">
        <v>2.4E-2</v>
      </c>
      <c r="D97" s="11">
        <v>0.26500000000000001</v>
      </c>
      <c r="E97" s="11">
        <v>0.69499999999999995</v>
      </c>
      <c r="F97">
        <v>7610</v>
      </c>
      <c r="G97" t="s">
        <v>1335</v>
      </c>
      <c r="H97" t="s">
        <v>1336</v>
      </c>
      <c r="I97">
        <v>52</v>
      </c>
      <c r="K97" t="str">
        <f t="shared" si="1"/>
        <v>Israel</v>
      </c>
    </row>
    <row r="98" spans="1:11" x14ac:dyDescent="0.25">
      <c r="A98" s="10" t="s">
        <v>10</v>
      </c>
      <c r="B98" t="s">
        <v>1337</v>
      </c>
      <c r="C98" s="10">
        <v>2.1000000000000001E-2</v>
      </c>
      <c r="D98" s="11">
        <v>0.23899999999999999</v>
      </c>
      <c r="E98" s="11">
        <v>0.73899999999999999</v>
      </c>
      <c r="F98" t="s">
        <v>1338</v>
      </c>
      <c r="G98" t="s">
        <v>1339</v>
      </c>
      <c r="H98" t="s">
        <v>1340</v>
      </c>
      <c r="I98">
        <v>12</v>
      </c>
      <c r="K98" t="str">
        <f t="shared" si="1"/>
        <v>Italia</v>
      </c>
    </row>
    <row r="99" spans="1:11" x14ac:dyDescent="0.25">
      <c r="A99" s="10" t="s">
        <v>2</v>
      </c>
      <c r="B99" t="s">
        <v>1341</v>
      </c>
      <c r="C99" s="10">
        <v>7.0000000000000007E-2</v>
      </c>
      <c r="D99" s="11">
        <v>0.21099999999999999</v>
      </c>
      <c r="E99" s="11">
        <v>0.71899999999999997</v>
      </c>
      <c r="F99">
        <v>1824</v>
      </c>
      <c r="G99">
        <v>5499</v>
      </c>
      <c r="H99" t="s">
        <v>1342</v>
      </c>
      <c r="I99">
        <v>136</v>
      </c>
      <c r="K99" t="str">
        <f t="shared" si="1"/>
        <v>Jamaica</v>
      </c>
    </row>
    <row r="100" spans="1:11" x14ac:dyDescent="0.25">
      <c r="A100" s="10" t="s">
        <v>31</v>
      </c>
      <c r="B100" t="s">
        <v>1343</v>
      </c>
      <c r="C100" s="10">
        <v>1.0999999999999999E-2</v>
      </c>
      <c r="D100" s="11">
        <v>0.30099999999999999</v>
      </c>
      <c r="E100" s="11">
        <v>0.68700000000000006</v>
      </c>
      <c r="F100" t="s">
        <v>1344</v>
      </c>
      <c r="G100" t="s">
        <v>1345</v>
      </c>
      <c r="H100" t="s">
        <v>1346</v>
      </c>
      <c r="I100">
        <v>4</v>
      </c>
      <c r="K100" t="str">
        <f t="shared" si="1"/>
        <v>Japón</v>
      </c>
    </row>
    <row r="101" spans="1:11" x14ac:dyDescent="0.25">
      <c r="A101" s="10" t="s">
        <v>1033</v>
      </c>
      <c r="B101">
        <v>5569</v>
      </c>
      <c r="C101" s="10">
        <v>0.02</v>
      </c>
      <c r="D101" s="11">
        <v>0.02</v>
      </c>
      <c r="E101" s="11">
        <v>0.96</v>
      </c>
      <c r="F101">
        <v>111</v>
      </c>
      <c r="G101">
        <v>111</v>
      </c>
      <c r="H101">
        <v>5346</v>
      </c>
      <c r="I101" t="s">
        <v>1148</v>
      </c>
      <c r="K101" t="str">
        <f t="shared" si="1"/>
        <v>Jersey</v>
      </c>
    </row>
    <row r="102" spans="1:11" x14ac:dyDescent="0.25">
      <c r="A102" s="10" t="s">
        <v>89</v>
      </c>
      <c r="B102" t="s">
        <v>1347</v>
      </c>
      <c r="C102" s="10">
        <v>4.4999999999999998E-2</v>
      </c>
      <c r="D102" s="11">
        <v>0.28799999999999998</v>
      </c>
      <c r="E102" s="11">
        <v>0.66600000000000004</v>
      </c>
      <c r="F102">
        <v>4005</v>
      </c>
      <c r="G102" t="s">
        <v>1348</v>
      </c>
      <c r="H102" t="s">
        <v>1349</v>
      </c>
      <c r="I102">
        <v>87</v>
      </c>
      <c r="K102" t="str">
        <f t="shared" si="1"/>
        <v>Jordania</v>
      </c>
    </row>
    <row r="103" spans="1:11" x14ac:dyDescent="0.25">
      <c r="A103" s="10" t="s">
        <v>199</v>
      </c>
      <c r="B103" t="s">
        <v>1350</v>
      </c>
      <c r="C103" s="10">
        <v>4.7E-2</v>
      </c>
      <c r="D103" s="11">
        <v>0.34100000000000003</v>
      </c>
      <c r="E103" s="11">
        <v>0.61199999999999999</v>
      </c>
      <c r="F103" t="s">
        <v>1351</v>
      </c>
      <c r="G103" t="s">
        <v>1352</v>
      </c>
      <c r="H103" t="s">
        <v>1353</v>
      </c>
      <c r="I103">
        <v>41</v>
      </c>
      <c r="K103" t="str">
        <f t="shared" si="1"/>
        <v>Kazajistán</v>
      </c>
    </row>
    <row r="104" spans="1:11" x14ac:dyDescent="0.25">
      <c r="A104" s="10" t="s">
        <v>165</v>
      </c>
      <c r="B104" t="s">
        <v>1354</v>
      </c>
      <c r="C104" s="10">
        <v>0.34499999999999997</v>
      </c>
      <c r="D104" s="11">
        <v>0.17799999999999999</v>
      </c>
      <c r="E104" s="11">
        <v>0.47499999999999998</v>
      </c>
      <c r="F104" t="s">
        <v>1355</v>
      </c>
      <c r="G104" t="s">
        <v>1356</v>
      </c>
      <c r="H104" t="s">
        <v>1357</v>
      </c>
      <c r="I104">
        <v>72</v>
      </c>
      <c r="K104" t="str">
        <f t="shared" si="1"/>
        <v>Kenia</v>
      </c>
    </row>
    <row r="105" spans="1:11" x14ac:dyDescent="0.25">
      <c r="A105" s="10" t="s">
        <v>57</v>
      </c>
      <c r="B105" t="s">
        <v>1358</v>
      </c>
      <c r="C105" s="10">
        <v>0.14599999999999999</v>
      </c>
      <c r="D105" s="11">
        <v>0.312</v>
      </c>
      <c r="E105" s="11">
        <v>0.54200000000000004</v>
      </c>
      <c r="F105">
        <v>3380</v>
      </c>
      <c r="G105">
        <v>7223</v>
      </c>
      <c r="H105" t="s">
        <v>1359</v>
      </c>
      <c r="I105">
        <v>140</v>
      </c>
      <c r="K105" t="str">
        <f t="shared" si="1"/>
        <v>Kirguistán</v>
      </c>
    </row>
    <row r="106" spans="1:11" x14ac:dyDescent="0.25">
      <c r="A106" s="10" t="s">
        <v>149</v>
      </c>
      <c r="B106">
        <v>227</v>
      </c>
      <c r="C106" s="10">
        <v>0.23</v>
      </c>
      <c r="D106" s="11">
        <v>7.0000000000000007E-2</v>
      </c>
      <c r="E106" s="11">
        <v>0.7</v>
      </c>
      <c r="F106">
        <v>52</v>
      </c>
      <c r="G106">
        <v>16</v>
      </c>
      <c r="H106">
        <v>159</v>
      </c>
      <c r="I106">
        <v>189</v>
      </c>
      <c r="K106" t="str">
        <f t="shared" si="1"/>
        <v>Kiribati</v>
      </c>
    </row>
    <row r="107" spans="1:11" x14ac:dyDescent="0.25">
      <c r="A107" s="10" t="s">
        <v>1843</v>
      </c>
      <c r="B107" t="s">
        <v>1360</v>
      </c>
      <c r="C107" s="10">
        <v>0.11899999999999999</v>
      </c>
      <c r="D107" s="11">
        <v>0.17699999999999999</v>
      </c>
      <c r="E107" s="11">
        <v>0.70399999999999996</v>
      </c>
      <c r="F107">
        <v>2332</v>
      </c>
      <c r="G107">
        <v>3469</v>
      </c>
      <c r="H107" t="s">
        <v>1361</v>
      </c>
      <c r="I107" t="s">
        <v>1148</v>
      </c>
      <c r="K107" t="str">
        <f t="shared" si="1"/>
        <v>Kosovo</v>
      </c>
    </row>
    <row r="108" spans="1:11" x14ac:dyDescent="0.25">
      <c r="A108" s="10" t="s">
        <v>122</v>
      </c>
      <c r="B108" t="s">
        <v>1362</v>
      </c>
      <c r="C108" s="10">
        <v>4.0000000000000001E-3</v>
      </c>
      <c r="D108" s="11">
        <v>0.58699999999999997</v>
      </c>
      <c r="E108" s="11">
        <v>0.40899999999999997</v>
      </c>
      <c r="F108">
        <v>1159</v>
      </c>
      <c r="G108" t="s">
        <v>1363</v>
      </c>
      <c r="H108" t="s">
        <v>1364</v>
      </c>
      <c r="I108">
        <v>56</v>
      </c>
      <c r="K108" t="str">
        <f t="shared" si="1"/>
        <v>Kuwait</v>
      </c>
    </row>
    <row r="109" spans="1:11" x14ac:dyDescent="0.25">
      <c r="A109" s="10" t="s">
        <v>163</v>
      </c>
      <c r="B109" t="s">
        <v>1365</v>
      </c>
      <c r="C109" s="10">
        <v>0.20899999999999999</v>
      </c>
      <c r="D109" s="11">
        <v>0.33200000000000002</v>
      </c>
      <c r="E109" s="11">
        <v>0.45900000000000002</v>
      </c>
      <c r="F109" t="s">
        <v>1366</v>
      </c>
      <c r="G109" t="s">
        <v>1367</v>
      </c>
      <c r="H109" t="s">
        <v>1368</v>
      </c>
      <c r="I109">
        <v>107</v>
      </c>
      <c r="K109" t="str">
        <f t="shared" si="1"/>
        <v>Laos</v>
      </c>
    </row>
    <row r="110" spans="1:11" x14ac:dyDescent="0.25">
      <c r="A110" s="10" t="s">
        <v>39</v>
      </c>
      <c r="B110">
        <v>6656</v>
      </c>
      <c r="C110" s="10">
        <v>5.8000000000000003E-2</v>
      </c>
      <c r="D110" s="11">
        <v>0.39200000000000002</v>
      </c>
      <c r="E110" s="11">
        <v>0.54900000000000004</v>
      </c>
      <c r="F110">
        <v>386</v>
      </c>
      <c r="G110">
        <v>2609</v>
      </c>
      <c r="H110">
        <v>3654</v>
      </c>
      <c r="I110">
        <v>161</v>
      </c>
      <c r="K110" t="str">
        <f t="shared" si="1"/>
        <v>Lesoto</v>
      </c>
    </row>
    <row r="111" spans="1:11" x14ac:dyDescent="0.25">
      <c r="A111" s="10" t="s">
        <v>71</v>
      </c>
      <c r="B111" t="s">
        <v>1369</v>
      </c>
      <c r="C111" s="10">
        <v>3.9E-2</v>
      </c>
      <c r="D111" s="11">
        <v>0.224</v>
      </c>
      <c r="E111" s="11">
        <v>0.73699999999999999</v>
      </c>
      <c r="F111">
        <v>2107</v>
      </c>
      <c r="G111" t="s">
        <v>1370</v>
      </c>
      <c r="H111" t="s">
        <v>1371</v>
      </c>
      <c r="I111">
        <v>104</v>
      </c>
      <c r="K111" t="str">
        <f t="shared" si="1"/>
        <v>Letonia</v>
      </c>
    </row>
    <row r="112" spans="1:11" x14ac:dyDescent="0.25">
      <c r="A112" s="10" t="s">
        <v>142</v>
      </c>
      <c r="B112" t="s">
        <v>1372</v>
      </c>
      <c r="C112" s="10">
        <v>3.9E-2</v>
      </c>
      <c r="D112" s="11">
        <v>0.13100000000000001</v>
      </c>
      <c r="E112" s="11">
        <v>0.83</v>
      </c>
      <c r="F112">
        <v>3442</v>
      </c>
      <c r="G112" t="s">
        <v>1373</v>
      </c>
      <c r="H112" t="s">
        <v>1374</v>
      </c>
      <c r="I112">
        <v>89</v>
      </c>
      <c r="K112" t="str">
        <f t="shared" si="1"/>
        <v>Líbano</v>
      </c>
    </row>
    <row r="113" spans="1:11" x14ac:dyDescent="0.25">
      <c r="A113" s="10" t="s">
        <v>181</v>
      </c>
      <c r="B113">
        <v>6112</v>
      </c>
      <c r="C113" s="10">
        <v>0.34</v>
      </c>
      <c r="D113" s="11">
        <v>0.13800000000000001</v>
      </c>
      <c r="E113" s="11">
        <v>0.52200000000000002</v>
      </c>
      <c r="F113">
        <v>2078</v>
      </c>
      <c r="G113">
        <v>843</v>
      </c>
      <c r="H113">
        <v>3190</v>
      </c>
      <c r="I113">
        <v>163</v>
      </c>
      <c r="K113" t="str">
        <f t="shared" si="1"/>
        <v>Liberia</v>
      </c>
    </row>
    <row r="114" spans="1:11" x14ac:dyDescent="0.25">
      <c r="A114" s="10" t="s">
        <v>59</v>
      </c>
      <c r="B114" t="s">
        <v>1375</v>
      </c>
      <c r="C114" s="10">
        <v>1.2999999999999999E-2</v>
      </c>
      <c r="D114" s="11">
        <v>0.52300000000000002</v>
      </c>
      <c r="E114" s="11">
        <v>0.46400000000000002</v>
      </c>
      <c r="F114">
        <v>806</v>
      </c>
      <c r="G114" t="s">
        <v>1376</v>
      </c>
      <c r="H114" t="s">
        <v>1377</v>
      </c>
      <c r="I114">
        <v>102</v>
      </c>
      <c r="K114" t="str">
        <f t="shared" si="1"/>
        <v>Libia</v>
      </c>
    </row>
    <row r="115" spans="1:11" x14ac:dyDescent="0.25">
      <c r="A115" s="10" t="s">
        <v>1</v>
      </c>
      <c r="B115">
        <v>4978</v>
      </c>
      <c r="C115" s="10">
        <v>7.0000000000000007E-2</v>
      </c>
      <c r="D115" s="11">
        <v>0.41</v>
      </c>
      <c r="E115" s="11">
        <v>0.52</v>
      </c>
      <c r="F115">
        <v>348</v>
      </c>
      <c r="G115">
        <v>2041</v>
      </c>
      <c r="H115">
        <v>2589</v>
      </c>
      <c r="I115">
        <v>166</v>
      </c>
      <c r="K115" t="str">
        <f t="shared" si="1"/>
        <v>Liechtenstein</v>
      </c>
    </row>
    <row r="116" spans="1:11" x14ac:dyDescent="0.25">
      <c r="A116" s="10" t="s">
        <v>101</v>
      </c>
      <c r="B116" t="s">
        <v>1378</v>
      </c>
      <c r="C116" s="10">
        <v>3.5000000000000003E-2</v>
      </c>
      <c r="D116" s="11">
        <v>0.29399999999999998</v>
      </c>
      <c r="E116" s="11">
        <v>0.67200000000000004</v>
      </c>
      <c r="F116">
        <v>3201</v>
      </c>
      <c r="G116" t="s">
        <v>1379</v>
      </c>
      <c r="H116" t="s">
        <v>1380</v>
      </c>
      <c r="I116">
        <v>84</v>
      </c>
      <c r="K116" t="str">
        <f t="shared" si="1"/>
        <v>Lituania</v>
      </c>
    </row>
    <row r="117" spans="1:11" x14ac:dyDescent="0.25">
      <c r="A117" s="10" t="s">
        <v>16</v>
      </c>
      <c r="B117" t="s">
        <v>1381</v>
      </c>
      <c r="C117" s="10">
        <v>3.0000000000000001E-3</v>
      </c>
      <c r="D117" s="11">
        <v>0.128</v>
      </c>
      <c r="E117" s="11">
        <v>0.86899999999999999</v>
      </c>
      <c r="F117">
        <v>186</v>
      </c>
      <c r="G117">
        <v>7950</v>
      </c>
      <c r="H117" t="s">
        <v>1382</v>
      </c>
      <c r="I117">
        <v>101</v>
      </c>
      <c r="K117" t="str">
        <f t="shared" si="1"/>
        <v>Luxemburgo</v>
      </c>
    </row>
    <row r="118" spans="1:11" x14ac:dyDescent="0.25">
      <c r="A118" s="10" t="s">
        <v>162</v>
      </c>
      <c r="B118" t="s">
        <v>1383</v>
      </c>
      <c r="C118" s="10">
        <v>0</v>
      </c>
      <c r="D118" s="11">
        <v>6.3E-2</v>
      </c>
      <c r="E118" s="11">
        <v>0.93700000000000006</v>
      </c>
      <c r="F118">
        <v>0</v>
      </c>
      <c r="G118">
        <v>4525</v>
      </c>
      <c r="H118" t="s">
        <v>1384</v>
      </c>
      <c r="I118" t="s">
        <v>1148</v>
      </c>
      <c r="K118" t="str">
        <f t="shared" si="1"/>
        <v>Macao</v>
      </c>
    </row>
    <row r="119" spans="1:11" x14ac:dyDescent="0.25">
      <c r="A119" s="10" t="s">
        <v>125</v>
      </c>
      <c r="B119" t="s">
        <v>1385</v>
      </c>
      <c r="C119" s="10">
        <v>0.109</v>
      </c>
      <c r="D119" s="11">
        <v>0.26600000000000001</v>
      </c>
      <c r="E119" s="11">
        <v>0.625</v>
      </c>
      <c r="F119">
        <v>3382</v>
      </c>
      <c r="G119">
        <v>8254</v>
      </c>
      <c r="H119" t="s">
        <v>1386</v>
      </c>
      <c r="I119">
        <v>127</v>
      </c>
      <c r="K119" t="str">
        <f t="shared" si="1"/>
        <v>Macedonia del Norte</v>
      </c>
    </row>
    <row r="120" spans="1:11" x14ac:dyDescent="0.25">
      <c r="A120" s="10" t="s">
        <v>100</v>
      </c>
      <c r="B120" t="s">
        <v>1283</v>
      </c>
      <c r="C120" s="10">
        <v>0.24</v>
      </c>
      <c r="D120" s="11">
        <v>0.19500000000000001</v>
      </c>
      <c r="E120" s="11">
        <v>0.56399999999999995</v>
      </c>
      <c r="F120">
        <v>9564</v>
      </c>
      <c r="G120">
        <v>7771</v>
      </c>
      <c r="H120" t="s">
        <v>1387</v>
      </c>
      <c r="I120">
        <v>115</v>
      </c>
      <c r="K120" t="str">
        <f t="shared" si="1"/>
        <v>Madagascar</v>
      </c>
    </row>
    <row r="121" spans="1:11" x14ac:dyDescent="0.25">
      <c r="A121" s="10" t="s">
        <v>182</v>
      </c>
      <c r="B121" t="s">
        <v>1388</v>
      </c>
      <c r="C121" s="10">
        <v>8.7999999999999995E-2</v>
      </c>
      <c r="D121" s="11">
        <v>0.376</v>
      </c>
      <c r="E121" s="11">
        <v>0.53600000000000003</v>
      </c>
      <c r="F121" t="s">
        <v>1389</v>
      </c>
      <c r="G121" t="s">
        <v>1390</v>
      </c>
      <c r="H121" t="s">
        <v>1391</v>
      </c>
      <c r="I121">
        <v>25</v>
      </c>
      <c r="K121" t="str">
        <f t="shared" si="1"/>
        <v>Malasia</v>
      </c>
    </row>
    <row r="122" spans="1:11" x14ac:dyDescent="0.25">
      <c r="A122" s="10" t="s">
        <v>66</v>
      </c>
      <c r="B122" t="s">
        <v>1392</v>
      </c>
      <c r="C122" s="10">
        <v>0.28599999999999998</v>
      </c>
      <c r="D122" s="11">
        <v>0.154</v>
      </c>
      <c r="E122" s="11">
        <v>0.56000000000000005</v>
      </c>
      <c r="F122">
        <v>6412</v>
      </c>
      <c r="G122">
        <v>3453</v>
      </c>
      <c r="H122" t="s">
        <v>1393</v>
      </c>
      <c r="I122">
        <v>141</v>
      </c>
      <c r="K122" t="str">
        <f t="shared" si="1"/>
        <v>Malaui</v>
      </c>
    </row>
    <row r="123" spans="1:11" x14ac:dyDescent="0.25">
      <c r="A123" s="10" t="s">
        <v>176</v>
      </c>
      <c r="B123">
        <v>6901</v>
      </c>
      <c r="C123" s="10">
        <v>0.03</v>
      </c>
      <c r="D123" s="11">
        <v>0.16</v>
      </c>
      <c r="E123" s="11">
        <v>0.81</v>
      </c>
      <c r="F123">
        <v>207</v>
      </c>
      <c r="G123">
        <v>1104</v>
      </c>
      <c r="H123">
        <v>5590</v>
      </c>
      <c r="I123">
        <v>160</v>
      </c>
      <c r="K123" t="str">
        <f t="shared" si="1"/>
        <v>Maldivas</v>
      </c>
    </row>
    <row r="124" spans="1:11" x14ac:dyDescent="0.25">
      <c r="A124" s="10" t="s">
        <v>1045</v>
      </c>
      <c r="B124" t="s">
        <v>1394</v>
      </c>
      <c r="C124" s="10">
        <v>0.41799999999999998</v>
      </c>
      <c r="D124" s="11">
        <v>0.18099999999999999</v>
      </c>
      <c r="E124" s="11">
        <v>0.40500000000000003</v>
      </c>
      <c r="F124" t="s">
        <v>1395</v>
      </c>
      <c r="G124">
        <v>7461</v>
      </c>
      <c r="H124" t="s">
        <v>1396</v>
      </c>
      <c r="I124">
        <v>112</v>
      </c>
      <c r="K124" t="str">
        <f t="shared" si="1"/>
        <v>Mali</v>
      </c>
    </row>
    <row r="125" spans="1:11" x14ac:dyDescent="0.25">
      <c r="A125" s="10" t="s">
        <v>141</v>
      </c>
      <c r="B125" t="s">
        <v>1397</v>
      </c>
      <c r="C125" s="10">
        <v>1.0999999999999999E-2</v>
      </c>
      <c r="D125" s="11">
        <v>0.10199999999999999</v>
      </c>
      <c r="E125" s="11">
        <v>0.88700000000000001</v>
      </c>
      <c r="F125">
        <v>212</v>
      </c>
      <c r="G125">
        <v>1965</v>
      </c>
      <c r="H125" t="s">
        <v>1398</v>
      </c>
      <c r="I125">
        <v>145</v>
      </c>
      <c r="K125" t="str">
        <f t="shared" si="1"/>
        <v>Malta</v>
      </c>
    </row>
    <row r="126" spans="1:11" x14ac:dyDescent="0.25">
      <c r="A126" s="10" t="s">
        <v>167</v>
      </c>
      <c r="B126" t="s">
        <v>1399</v>
      </c>
      <c r="C126" s="10">
        <v>0.14000000000000001</v>
      </c>
      <c r="D126" s="11">
        <v>0.29499999999999998</v>
      </c>
      <c r="E126" s="11">
        <v>0.56499999999999995</v>
      </c>
      <c r="F126" t="s">
        <v>1400</v>
      </c>
      <c r="G126" t="s">
        <v>1401</v>
      </c>
      <c r="H126" t="s">
        <v>1402</v>
      </c>
      <c r="I126">
        <v>55</v>
      </c>
      <c r="K126" t="str">
        <f t="shared" si="1"/>
        <v>Marruecos</v>
      </c>
    </row>
    <row r="127" spans="1:11" x14ac:dyDescent="0.25">
      <c r="A127" s="10" t="s">
        <v>114</v>
      </c>
      <c r="B127" t="s">
        <v>1403</v>
      </c>
      <c r="C127" s="10">
        <v>0.04</v>
      </c>
      <c r="D127" s="11">
        <v>0.218</v>
      </c>
      <c r="E127" s="11">
        <v>0.74099999999999999</v>
      </c>
      <c r="F127">
        <v>1131</v>
      </c>
      <c r="G127">
        <v>6163</v>
      </c>
      <c r="H127" t="s">
        <v>1404</v>
      </c>
      <c r="I127">
        <v>133</v>
      </c>
      <c r="K127" t="str">
        <f t="shared" si="1"/>
        <v>Mauricio</v>
      </c>
    </row>
    <row r="128" spans="1:11" x14ac:dyDescent="0.25">
      <c r="A128" s="10" t="s">
        <v>148</v>
      </c>
      <c r="B128" t="s">
        <v>1405</v>
      </c>
      <c r="C128" s="10">
        <v>0.27800000000000002</v>
      </c>
      <c r="D128" s="11">
        <v>0.29299999999999998</v>
      </c>
      <c r="E128" s="11">
        <v>0.42899999999999999</v>
      </c>
      <c r="F128">
        <v>4804</v>
      </c>
      <c r="G128">
        <v>5063</v>
      </c>
      <c r="H128">
        <v>7413</v>
      </c>
      <c r="I128">
        <v>147</v>
      </c>
      <c r="K128" t="str">
        <f t="shared" si="1"/>
        <v>Mauritania</v>
      </c>
    </row>
    <row r="129" spans="1:11" x14ac:dyDescent="0.25">
      <c r="A129" s="10" t="s">
        <v>12</v>
      </c>
      <c r="B129" t="s">
        <v>1406</v>
      </c>
      <c r="C129" s="10">
        <v>3.5999999999999997E-2</v>
      </c>
      <c r="D129" s="11">
        <v>0.31900000000000001</v>
      </c>
      <c r="E129" s="11">
        <v>0.64500000000000002</v>
      </c>
      <c r="F129" t="s">
        <v>1407</v>
      </c>
      <c r="G129" t="s">
        <v>1408</v>
      </c>
      <c r="H129" t="s">
        <v>1409</v>
      </c>
      <c r="I129">
        <v>11</v>
      </c>
      <c r="K129" t="str">
        <f t="shared" si="1"/>
        <v>México</v>
      </c>
    </row>
    <row r="130" spans="1:11" x14ac:dyDescent="0.25">
      <c r="A130" s="10" t="s">
        <v>79</v>
      </c>
      <c r="B130" t="s">
        <v>1410</v>
      </c>
      <c r="C130" s="10">
        <v>0.17699999999999999</v>
      </c>
      <c r="D130" s="11">
        <v>0.20300000000000001</v>
      </c>
      <c r="E130" s="11">
        <v>0.62</v>
      </c>
      <c r="F130">
        <v>4198</v>
      </c>
      <c r="G130">
        <v>4815</v>
      </c>
      <c r="H130" t="s">
        <v>1411</v>
      </c>
      <c r="I130">
        <v>139</v>
      </c>
      <c r="K130" t="str">
        <f t="shared" si="1"/>
        <v>Moldavia</v>
      </c>
    </row>
    <row r="131" spans="1:11" x14ac:dyDescent="0.25">
      <c r="A131" s="10" t="s">
        <v>177</v>
      </c>
      <c r="B131">
        <v>7672</v>
      </c>
      <c r="C131" s="10">
        <v>0</v>
      </c>
      <c r="D131" s="11">
        <v>0.14000000000000001</v>
      </c>
      <c r="E131" s="11">
        <v>0.86</v>
      </c>
      <c r="F131">
        <v>0</v>
      </c>
      <c r="G131">
        <v>1074</v>
      </c>
      <c r="H131">
        <v>6598</v>
      </c>
      <c r="I131">
        <v>157</v>
      </c>
      <c r="K131" t="str">
        <f t="shared" ref="K131:K194" si="2">(TRIM(SUBSTITUTE(A131,CHAR(160),"")))</f>
        <v>Mónaco</v>
      </c>
    </row>
    <row r="132" spans="1:11" x14ac:dyDescent="0.25">
      <c r="A132" s="10" t="s">
        <v>203</v>
      </c>
      <c r="B132" t="s">
        <v>1412</v>
      </c>
      <c r="C132" s="10">
        <v>0.121</v>
      </c>
      <c r="D132" s="11">
        <v>0.38200000000000001</v>
      </c>
      <c r="E132" s="11">
        <v>0.497</v>
      </c>
      <c r="F132">
        <v>4807</v>
      </c>
      <c r="G132" t="s">
        <v>1413</v>
      </c>
      <c r="H132" t="s">
        <v>1414</v>
      </c>
      <c r="I132">
        <v>116</v>
      </c>
      <c r="K132" t="str">
        <f t="shared" si="2"/>
        <v>Mongolia</v>
      </c>
    </row>
    <row r="133" spans="1:11" x14ac:dyDescent="0.25">
      <c r="A133" s="10" t="s">
        <v>90</v>
      </c>
      <c r="B133" t="s">
        <v>1415</v>
      </c>
      <c r="C133" s="10">
        <v>7.4999999999999997E-2</v>
      </c>
      <c r="D133" s="11">
        <v>0.159</v>
      </c>
      <c r="E133" s="11">
        <v>0.76600000000000001</v>
      </c>
      <c r="F133">
        <v>831</v>
      </c>
      <c r="G133">
        <v>1762</v>
      </c>
      <c r="H133">
        <v>8487</v>
      </c>
      <c r="I133">
        <v>152</v>
      </c>
      <c r="K133" t="str">
        <f t="shared" si="2"/>
        <v>Montenegro</v>
      </c>
    </row>
    <row r="134" spans="1:11" x14ac:dyDescent="0.25">
      <c r="A134" s="10" t="s">
        <v>208</v>
      </c>
      <c r="B134">
        <v>167</v>
      </c>
      <c r="C134" s="10">
        <v>1.9E-2</v>
      </c>
      <c r="D134" s="11">
        <v>7.8E-2</v>
      </c>
      <c r="E134" s="11">
        <v>0.90300000000000002</v>
      </c>
      <c r="F134">
        <v>3</v>
      </c>
      <c r="G134">
        <v>13</v>
      </c>
      <c r="H134">
        <v>151</v>
      </c>
      <c r="I134" t="s">
        <v>1148</v>
      </c>
      <c r="K134" t="str">
        <f t="shared" si="2"/>
        <v>Montserrat</v>
      </c>
    </row>
    <row r="135" spans="1:11" x14ac:dyDescent="0.25">
      <c r="A135" s="10" t="s">
        <v>9</v>
      </c>
      <c r="B135" t="s">
        <v>1416</v>
      </c>
      <c r="C135" s="10">
        <v>0.23899999999999999</v>
      </c>
      <c r="D135" s="11">
        <v>0.193</v>
      </c>
      <c r="E135" s="11">
        <v>0.56799999999999995</v>
      </c>
      <c r="F135">
        <v>8865</v>
      </c>
      <c r="G135">
        <v>7158</v>
      </c>
      <c r="H135" t="s">
        <v>1417</v>
      </c>
      <c r="I135">
        <v>118</v>
      </c>
      <c r="K135" t="str">
        <f t="shared" si="2"/>
        <v>Mozambique</v>
      </c>
    </row>
    <row r="136" spans="1:11" x14ac:dyDescent="0.25">
      <c r="A136" s="10" t="s">
        <v>637</v>
      </c>
      <c r="B136" t="s">
        <v>1091</v>
      </c>
      <c r="C136" s="10">
        <v>6.4000000000000001E-2</v>
      </c>
      <c r="D136" s="11">
        <v>0.3</v>
      </c>
      <c r="E136" s="11">
        <v>0.63</v>
      </c>
      <c r="F136" t="s">
        <v>1092</v>
      </c>
      <c r="G136" t="s">
        <v>1093</v>
      </c>
      <c r="H136" t="s">
        <v>1094</v>
      </c>
      <c r="I136" t="s">
        <v>1095</v>
      </c>
      <c r="K136" t="str">
        <f t="shared" si="2"/>
        <v>Mundo</v>
      </c>
    </row>
    <row r="137" spans="1:11" x14ac:dyDescent="0.25">
      <c r="A137" s="10" t="s">
        <v>80</v>
      </c>
      <c r="B137" t="s">
        <v>1418</v>
      </c>
      <c r="C137" s="10">
        <v>6.7000000000000004E-2</v>
      </c>
      <c r="D137" s="11">
        <v>0.26300000000000001</v>
      </c>
      <c r="E137" s="11">
        <v>0.67</v>
      </c>
      <c r="F137">
        <v>1782</v>
      </c>
      <c r="G137">
        <v>6996</v>
      </c>
      <c r="H137" t="s">
        <v>1419</v>
      </c>
      <c r="I137">
        <v>135</v>
      </c>
      <c r="K137" t="str">
        <f t="shared" si="2"/>
        <v>Namibia</v>
      </c>
    </row>
    <row r="138" spans="1:11" x14ac:dyDescent="0.25">
      <c r="A138" s="10" t="s">
        <v>73</v>
      </c>
      <c r="B138">
        <v>160</v>
      </c>
      <c r="C138" s="10">
        <v>6.0999999999999999E-2</v>
      </c>
      <c r="D138" s="11">
        <v>0.33</v>
      </c>
      <c r="E138" s="11">
        <v>0.60799999999999998</v>
      </c>
      <c r="F138">
        <v>10</v>
      </c>
      <c r="G138">
        <v>53</v>
      </c>
      <c r="H138">
        <v>97</v>
      </c>
      <c r="I138">
        <v>190</v>
      </c>
      <c r="K138" t="str">
        <f t="shared" si="2"/>
        <v>Nauru</v>
      </c>
    </row>
    <row r="139" spans="1:11" x14ac:dyDescent="0.25">
      <c r="A139" s="10" t="s">
        <v>161</v>
      </c>
      <c r="B139" t="s">
        <v>1420</v>
      </c>
      <c r="C139" s="10">
        <v>0.27</v>
      </c>
      <c r="D139" s="11">
        <v>0.13500000000000001</v>
      </c>
      <c r="E139" s="11">
        <v>0.59499999999999997</v>
      </c>
      <c r="F139" t="s">
        <v>1421</v>
      </c>
      <c r="G139" t="s">
        <v>1422</v>
      </c>
      <c r="H139" t="s">
        <v>1423</v>
      </c>
      <c r="I139">
        <v>92</v>
      </c>
      <c r="K139" t="str">
        <f t="shared" si="2"/>
        <v>Nepal</v>
      </c>
    </row>
    <row r="140" spans="1:11" x14ac:dyDescent="0.25">
      <c r="A140" s="10" t="s">
        <v>169</v>
      </c>
      <c r="B140" t="s">
        <v>1424</v>
      </c>
      <c r="C140" s="10">
        <v>0.155</v>
      </c>
      <c r="D140" s="11">
        <v>0.24399999999999999</v>
      </c>
      <c r="E140" s="11">
        <v>0.6</v>
      </c>
      <c r="F140">
        <v>5642</v>
      </c>
      <c r="G140">
        <v>8882</v>
      </c>
      <c r="H140" t="s">
        <v>1425</v>
      </c>
      <c r="I140">
        <v>120</v>
      </c>
      <c r="K140" t="str">
        <f t="shared" si="2"/>
        <v>Nicaragua</v>
      </c>
    </row>
    <row r="141" spans="1:11" x14ac:dyDescent="0.25">
      <c r="A141" s="10" t="s">
        <v>204</v>
      </c>
      <c r="B141" t="s">
        <v>1426</v>
      </c>
      <c r="C141" s="10">
        <v>0.41599999999999998</v>
      </c>
      <c r="D141" s="11">
        <v>0.19500000000000001</v>
      </c>
      <c r="E141" s="11">
        <v>0.38700000000000001</v>
      </c>
      <c r="F141">
        <v>9094</v>
      </c>
      <c r="G141">
        <v>4263</v>
      </c>
      <c r="H141">
        <v>8460</v>
      </c>
      <c r="I141">
        <v>142</v>
      </c>
      <c r="K141" t="str">
        <f t="shared" si="2"/>
        <v>Níger</v>
      </c>
    </row>
    <row r="142" spans="1:11" x14ac:dyDescent="0.25">
      <c r="A142" s="10" t="s">
        <v>143</v>
      </c>
      <c r="B142" t="s">
        <v>1427</v>
      </c>
      <c r="C142" s="10">
        <v>0.21099999999999999</v>
      </c>
      <c r="D142" s="11">
        <v>0.22500000000000001</v>
      </c>
      <c r="E142" s="11">
        <v>0.56399999999999995</v>
      </c>
      <c r="F142" t="s">
        <v>1428</v>
      </c>
      <c r="G142" t="s">
        <v>1429</v>
      </c>
      <c r="H142" t="s">
        <v>1430</v>
      </c>
      <c r="I142">
        <v>23</v>
      </c>
      <c r="K142" t="str">
        <f t="shared" si="2"/>
        <v>Nigeria</v>
      </c>
    </row>
    <row r="143" spans="1:11" x14ac:dyDescent="0.25">
      <c r="A143" s="10" t="s">
        <v>1853</v>
      </c>
      <c r="B143">
        <v>10</v>
      </c>
      <c r="C143" s="10">
        <v>0.23499999999999999</v>
      </c>
      <c r="D143" s="11">
        <v>0.26900000000000002</v>
      </c>
      <c r="E143" s="11">
        <v>0.495</v>
      </c>
      <c r="F143">
        <v>2</v>
      </c>
      <c r="G143">
        <v>3</v>
      </c>
      <c r="H143">
        <v>5</v>
      </c>
      <c r="I143" t="s">
        <v>1148</v>
      </c>
      <c r="K143" t="str">
        <f t="shared" si="2"/>
        <v>Niue</v>
      </c>
    </row>
    <row r="144" spans="1:11" x14ac:dyDescent="0.25">
      <c r="A144" s="10" t="s">
        <v>29</v>
      </c>
      <c r="B144" t="s">
        <v>1431</v>
      </c>
      <c r="C144" s="10">
        <v>2.3E-2</v>
      </c>
      <c r="D144" s="11">
        <v>0.33700000000000002</v>
      </c>
      <c r="E144" s="11">
        <v>0.64</v>
      </c>
      <c r="F144">
        <v>8768</v>
      </c>
      <c r="G144" t="s">
        <v>1432</v>
      </c>
      <c r="H144" t="s">
        <v>1433</v>
      </c>
      <c r="I144">
        <v>46</v>
      </c>
      <c r="K144" t="str">
        <f t="shared" si="2"/>
        <v>Noruega</v>
      </c>
    </row>
    <row r="145" spans="1:11" x14ac:dyDescent="0.25">
      <c r="A145" s="10" t="s">
        <v>4</v>
      </c>
      <c r="B145" t="s">
        <v>1434</v>
      </c>
      <c r="C145" s="10">
        <v>5.7000000000000002E-2</v>
      </c>
      <c r="D145" s="11">
        <v>0.215</v>
      </c>
      <c r="E145" s="11">
        <v>0.72799999999999998</v>
      </c>
      <c r="F145" t="s">
        <v>1435</v>
      </c>
      <c r="G145" t="s">
        <v>1436</v>
      </c>
      <c r="H145" t="s">
        <v>1437</v>
      </c>
      <c r="I145">
        <v>66</v>
      </c>
      <c r="K145" t="str">
        <f t="shared" si="2"/>
        <v>Nueva Zelanda</v>
      </c>
    </row>
    <row r="146" spans="1:11" x14ac:dyDescent="0.25">
      <c r="A146" s="10" t="s">
        <v>77</v>
      </c>
      <c r="B146" t="s">
        <v>1438</v>
      </c>
      <c r="C146" s="10">
        <v>1.7999999999999999E-2</v>
      </c>
      <c r="D146" s="11">
        <v>0.46400000000000002</v>
      </c>
      <c r="E146" s="11">
        <v>0.51800000000000002</v>
      </c>
      <c r="F146">
        <v>3422</v>
      </c>
      <c r="G146" t="s">
        <v>1439</v>
      </c>
      <c r="H146" t="s">
        <v>1440</v>
      </c>
      <c r="I146">
        <v>65</v>
      </c>
      <c r="K146" t="str">
        <f t="shared" si="2"/>
        <v>Omán</v>
      </c>
    </row>
    <row r="147" spans="1:11" x14ac:dyDescent="0.25">
      <c r="A147" s="10" t="s">
        <v>1854</v>
      </c>
      <c r="B147" t="s">
        <v>1441</v>
      </c>
      <c r="C147" s="10">
        <v>1.6E-2</v>
      </c>
      <c r="D147" s="11">
        <v>0.17899999999999999</v>
      </c>
      <c r="E147" s="11">
        <v>0.70199999999999996</v>
      </c>
      <c r="F147" t="s">
        <v>1442</v>
      </c>
      <c r="G147" t="s">
        <v>1443</v>
      </c>
      <c r="H147" t="s">
        <v>1444</v>
      </c>
      <c r="I147">
        <v>26</v>
      </c>
      <c r="K147" t="str">
        <f t="shared" si="2"/>
        <v>PaísesBajos</v>
      </c>
    </row>
    <row r="148" spans="1:11" x14ac:dyDescent="0.25">
      <c r="A148" s="10" t="s">
        <v>112</v>
      </c>
      <c r="B148" t="s">
        <v>1445</v>
      </c>
      <c r="C148" s="10">
        <v>0.24399999999999999</v>
      </c>
      <c r="D148" s="11">
        <v>0.191</v>
      </c>
      <c r="E148" s="11">
        <v>0.56499999999999995</v>
      </c>
      <c r="F148" t="s">
        <v>1446</v>
      </c>
      <c r="G148" t="s">
        <v>1447</v>
      </c>
      <c r="H148" t="s">
        <v>1448</v>
      </c>
      <c r="I148">
        <v>24</v>
      </c>
      <c r="K148" t="str">
        <f t="shared" si="2"/>
        <v>Pakistán</v>
      </c>
    </row>
    <row r="149" spans="1:11" x14ac:dyDescent="0.25">
      <c r="A149" s="10" t="s">
        <v>197</v>
      </c>
      <c r="B149">
        <v>264</v>
      </c>
      <c r="C149" s="10">
        <v>0.03</v>
      </c>
      <c r="D149" s="11">
        <v>0.19</v>
      </c>
      <c r="E149" s="11">
        <v>0.78</v>
      </c>
      <c r="F149">
        <v>8</v>
      </c>
      <c r="G149">
        <v>50</v>
      </c>
      <c r="H149">
        <v>206</v>
      </c>
      <c r="I149">
        <v>188</v>
      </c>
      <c r="K149" t="str">
        <f t="shared" si="2"/>
        <v>Palaos</v>
      </c>
    </row>
    <row r="150" spans="1:11" x14ac:dyDescent="0.25">
      <c r="A150" s="10" t="s">
        <v>150</v>
      </c>
      <c r="B150" t="s">
        <v>1449</v>
      </c>
      <c r="C150" s="10">
        <v>2.4E-2</v>
      </c>
      <c r="D150" s="11">
        <v>0.157</v>
      </c>
      <c r="E150" s="11">
        <v>0.82</v>
      </c>
      <c r="F150">
        <v>2498</v>
      </c>
      <c r="G150" t="s">
        <v>1450</v>
      </c>
      <c r="H150" t="s">
        <v>1451</v>
      </c>
      <c r="I150">
        <v>80</v>
      </c>
      <c r="K150" t="str">
        <f t="shared" si="2"/>
        <v>Panamá</v>
      </c>
    </row>
    <row r="151" spans="1:11" x14ac:dyDescent="0.25">
      <c r="A151" s="10" t="s">
        <v>188</v>
      </c>
      <c r="B151" t="s">
        <v>1452</v>
      </c>
      <c r="C151" s="10">
        <v>0.221</v>
      </c>
      <c r="D151" s="11">
        <v>0.42899999999999999</v>
      </c>
      <c r="E151" s="11">
        <v>0.35</v>
      </c>
      <c r="F151">
        <v>6672</v>
      </c>
      <c r="G151" t="s">
        <v>1453</v>
      </c>
      <c r="H151" t="s">
        <v>1454</v>
      </c>
      <c r="I151">
        <v>128</v>
      </c>
      <c r="K151" t="str">
        <f t="shared" si="2"/>
        <v>Papúa Nueva Guinea</v>
      </c>
    </row>
    <row r="152" spans="1:11" x14ac:dyDescent="0.25">
      <c r="A152" s="10" t="s">
        <v>195</v>
      </c>
      <c r="B152" t="s">
        <v>1455</v>
      </c>
      <c r="C152" s="10">
        <v>0.17899999999999999</v>
      </c>
      <c r="D152" s="11">
        <v>0.27700000000000002</v>
      </c>
      <c r="E152" s="11">
        <v>0.54500000000000004</v>
      </c>
      <c r="F152" t="s">
        <v>1456</v>
      </c>
      <c r="G152" t="s">
        <v>1457</v>
      </c>
      <c r="H152" t="s">
        <v>1458</v>
      </c>
      <c r="I152">
        <v>88</v>
      </c>
      <c r="K152" t="str">
        <f t="shared" si="2"/>
        <v>Paraguay</v>
      </c>
    </row>
    <row r="153" spans="1:11" x14ac:dyDescent="0.25">
      <c r="A153" s="10" t="s">
        <v>121</v>
      </c>
      <c r="B153" t="s">
        <v>1459</v>
      </c>
      <c r="C153" s="10">
        <v>7.5999999999999998E-2</v>
      </c>
      <c r="D153" s="11">
        <v>0.32700000000000001</v>
      </c>
      <c r="E153" s="11">
        <v>0.59899999999999998</v>
      </c>
      <c r="F153" t="s">
        <v>1460</v>
      </c>
      <c r="G153" t="s">
        <v>1461</v>
      </c>
      <c r="H153" t="s">
        <v>1462</v>
      </c>
      <c r="I153">
        <v>44</v>
      </c>
      <c r="K153" t="str">
        <f t="shared" si="2"/>
        <v>Perú</v>
      </c>
    </row>
    <row r="154" spans="1:11" x14ac:dyDescent="0.25">
      <c r="A154" s="10" t="s">
        <v>127</v>
      </c>
      <c r="B154" t="s">
        <v>1463</v>
      </c>
      <c r="C154" s="10">
        <v>2.4E-2</v>
      </c>
      <c r="D154" s="11">
        <v>0.40200000000000002</v>
      </c>
      <c r="E154" s="11">
        <v>0.57399999999999995</v>
      </c>
      <c r="F154" t="s">
        <v>1464</v>
      </c>
      <c r="G154" t="s">
        <v>1465</v>
      </c>
      <c r="H154" t="s">
        <v>1466</v>
      </c>
      <c r="I154">
        <v>22</v>
      </c>
      <c r="K154" t="str">
        <f t="shared" si="2"/>
        <v>Polonia</v>
      </c>
    </row>
    <row r="155" spans="1:11" x14ac:dyDescent="0.25">
      <c r="A155" s="10" t="s">
        <v>53</v>
      </c>
      <c r="B155" t="s">
        <v>1467</v>
      </c>
      <c r="C155" s="10">
        <v>2.1999999999999999E-2</v>
      </c>
      <c r="D155" s="11">
        <v>0.221</v>
      </c>
      <c r="E155" s="11">
        <v>0.75700000000000001</v>
      </c>
      <c r="F155">
        <v>6910</v>
      </c>
      <c r="G155" t="s">
        <v>1468</v>
      </c>
      <c r="H155" t="s">
        <v>1469</v>
      </c>
      <c r="I155">
        <v>53</v>
      </c>
      <c r="K155" t="str">
        <f t="shared" si="2"/>
        <v>Portugal</v>
      </c>
    </row>
    <row r="156" spans="1:11" x14ac:dyDescent="0.25">
      <c r="A156" s="10" t="s">
        <v>19</v>
      </c>
      <c r="B156" t="s">
        <v>1470</v>
      </c>
      <c r="C156" s="10">
        <v>8.0000000000000002E-3</v>
      </c>
      <c r="D156" s="11">
        <v>0.501</v>
      </c>
      <c r="E156" s="11">
        <v>0.49099999999999999</v>
      </c>
      <c r="F156">
        <v>1040</v>
      </c>
      <c r="G156" t="s">
        <v>1471</v>
      </c>
      <c r="H156" t="s">
        <v>1472</v>
      </c>
      <c r="I156" t="s">
        <v>1148</v>
      </c>
      <c r="K156" t="str">
        <f t="shared" si="2"/>
        <v>Puerto Rico</v>
      </c>
    </row>
    <row r="157" spans="1:11" x14ac:dyDescent="0.25">
      <c r="A157" s="10" t="s">
        <v>38</v>
      </c>
      <c r="B157" t="s">
        <v>1473</v>
      </c>
      <c r="C157" s="10">
        <v>7.0000000000000001E-3</v>
      </c>
      <c r="D157" s="11">
        <v>0.20200000000000001</v>
      </c>
      <c r="E157" s="11">
        <v>0.79200000000000004</v>
      </c>
      <c r="F157" t="s">
        <v>1474</v>
      </c>
      <c r="G157" t="s">
        <v>1475</v>
      </c>
      <c r="H157" t="s">
        <v>1476</v>
      </c>
      <c r="I157">
        <v>9</v>
      </c>
      <c r="K157" t="str">
        <f t="shared" si="2"/>
        <v>Reino Unido</v>
      </c>
    </row>
    <row r="158" spans="1:11" x14ac:dyDescent="0.25">
      <c r="A158" s="10" t="s">
        <v>164</v>
      </c>
      <c r="B158">
        <v>3390</v>
      </c>
      <c r="C158" s="10">
        <v>0.432</v>
      </c>
      <c r="D158" s="11">
        <v>0.16</v>
      </c>
      <c r="E158" s="11">
        <v>0.40799999999999997</v>
      </c>
      <c r="F158">
        <v>1464</v>
      </c>
      <c r="G158">
        <v>542</v>
      </c>
      <c r="H158">
        <v>1383</v>
      </c>
      <c r="I158">
        <v>169</v>
      </c>
      <c r="K158" t="str">
        <f t="shared" si="2"/>
        <v>República Centroafricana</v>
      </c>
    </row>
    <row r="159" spans="1:11" x14ac:dyDescent="0.25">
      <c r="A159" s="10" t="s">
        <v>1780</v>
      </c>
      <c r="B159" t="s">
        <v>1477</v>
      </c>
      <c r="C159" s="10">
        <v>2.3E-2</v>
      </c>
      <c r="D159" s="11">
        <v>0.36899999999999999</v>
      </c>
      <c r="E159" s="11">
        <v>0.60799999999999998</v>
      </c>
      <c r="F159">
        <v>8646</v>
      </c>
      <c r="G159" t="s">
        <v>1478</v>
      </c>
      <c r="H159" t="s">
        <v>1479</v>
      </c>
      <c r="I159">
        <v>47</v>
      </c>
      <c r="K159" t="str">
        <f t="shared" si="2"/>
        <v>República Checa</v>
      </c>
    </row>
    <row r="160" spans="1:11" x14ac:dyDescent="0.25">
      <c r="A160" s="10" t="s">
        <v>1061</v>
      </c>
      <c r="B160" t="s">
        <v>1480</v>
      </c>
      <c r="C160" s="10">
        <v>9.2999999999999999E-2</v>
      </c>
      <c r="D160" s="11">
        <v>0.51</v>
      </c>
      <c r="E160" s="11">
        <v>0.39700000000000002</v>
      </c>
      <c r="F160">
        <v>2733</v>
      </c>
      <c r="G160" t="s">
        <v>1481</v>
      </c>
      <c r="H160" t="s">
        <v>1482</v>
      </c>
      <c r="I160">
        <v>129</v>
      </c>
      <c r="K160" t="str">
        <f t="shared" si="2"/>
        <v>República del Congo</v>
      </c>
    </row>
    <row r="161" spans="1:11" x14ac:dyDescent="0.25">
      <c r="A161" s="10" t="s">
        <v>1062</v>
      </c>
      <c r="B161" t="s">
        <v>1483</v>
      </c>
      <c r="C161" s="10">
        <v>0.19700000000000001</v>
      </c>
      <c r="D161" s="11">
        <v>0.436</v>
      </c>
      <c r="E161" s="11">
        <v>0.36699999999999999</v>
      </c>
      <c r="F161" t="s">
        <v>1484</v>
      </c>
      <c r="G161" t="s">
        <v>1485</v>
      </c>
      <c r="H161" t="s">
        <v>1486</v>
      </c>
      <c r="I161">
        <v>99</v>
      </c>
      <c r="K161" t="str">
        <f t="shared" si="2"/>
        <v>República Democrática del Congo</v>
      </c>
    </row>
    <row r="162" spans="1:11" x14ac:dyDescent="0.25">
      <c r="A162" s="10" t="s">
        <v>70</v>
      </c>
      <c r="B162" t="s">
        <v>1487</v>
      </c>
      <c r="C162" s="10">
        <v>5.6000000000000001E-2</v>
      </c>
      <c r="D162" s="11">
        <v>0.33</v>
      </c>
      <c r="E162" s="11">
        <v>0.61399999999999999</v>
      </c>
      <c r="F162">
        <v>9688</v>
      </c>
      <c r="G162" t="s">
        <v>1488</v>
      </c>
      <c r="H162" t="s">
        <v>1489</v>
      </c>
      <c r="I162">
        <v>70</v>
      </c>
      <c r="K162" t="str">
        <f t="shared" si="2"/>
        <v>República Dominicana</v>
      </c>
    </row>
    <row r="163" spans="1:11" x14ac:dyDescent="0.25">
      <c r="A163" s="10" t="s">
        <v>205</v>
      </c>
      <c r="B163" t="s">
        <v>1490</v>
      </c>
      <c r="C163" s="10">
        <v>0.309</v>
      </c>
      <c r="D163" s="11">
        <v>0.17599999999999999</v>
      </c>
      <c r="E163" s="11">
        <v>0.51500000000000001</v>
      </c>
      <c r="F163">
        <v>7626</v>
      </c>
      <c r="G163">
        <v>4344</v>
      </c>
      <c r="H163" t="s">
        <v>1491</v>
      </c>
      <c r="I163">
        <v>138</v>
      </c>
      <c r="K163" t="str">
        <f t="shared" si="2"/>
        <v>Ruanda</v>
      </c>
    </row>
    <row r="164" spans="1:11" x14ac:dyDescent="0.25">
      <c r="A164" s="10" t="s">
        <v>17</v>
      </c>
      <c r="B164" t="s">
        <v>1492</v>
      </c>
      <c r="C164" s="10">
        <v>4.2000000000000003E-2</v>
      </c>
      <c r="D164" s="11">
        <v>0.33200000000000002</v>
      </c>
      <c r="E164" s="11">
        <v>0.626</v>
      </c>
      <c r="F164" t="s">
        <v>1493</v>
      </c>
      <c r="G164" t="s">
        <v>1494</v>
      </c>
      <c r="H164" t="s">
        <v>1495</v>
      </c>
      <c r="I164">
        <v>40</v>
      </c>
      <c r="K164" t="str">
        <f t="shared" si="2"/>
        <v>Rumania</v>
      </c>
    </row>
    <row r="165" spans="1:11" x14ac:dyDescent="0.25">
      <c r="A165" s="10" t="s">
        <v>25</v>
      </c>
      <c r="B165" t="s">
        <v>1496</v>
      </c>
      <c r="C165" s="10">
        <v>4.7E-2</v>
      </c>
      <c r="D165" s="11">
        <v>0.32400000000000001</v>
      </c>
      <c r="E165" s="11">
        <v>0.623</v>
      </c>
      <c r="F165" t="s">
        <v>1497</v>
      </c>
      <c r="G165" t="s">
        <v>1498</v>
      </c>
      <c r="H165" t="s">
        <v>1499</v>
      </c>
      <c r="I165">
        <v>6</v>
      </c>
      <c r="K165" t="str">
        <f t="shared" si="2"/>
        <v>Rusia</v>
      </c>
    </row>
    <row r="166" spans="1:11" x14ac:dyDescent="0.25">
      <c r="A166" s="10" t="s">
        <v>147</v>
      </c>
      <c r="B166">
        <v>1137</v>
      </c>
      <c r="C166" s="10">
        <v>0.104</v>
      </c>
      <c r="D166" s="11">
        <v>0.23599999999999999</v>
      </c>
      <c r="E166" s="11">
        <v>0.66</v>
      </c>
      <c r="F166">
        <v>118</v>
      </c>
      <c r="G166">
        <v>268</v>
      </c>
      <c r="H166">
        <v>750</v>
      </c>
      <c r="I166">
        <v>182</v>
      </c>
      <c r="K166" t="str">
        <f t="shared" si="2"/>
        <v>Samoa</v>
      </c>
    </row>
    <row r="167" spans="1:11" x14ac:dyDescent="0.25">
      <c r="A167" s="10" t="s">
        <v>41</v>
      </c>
      <c r="B167">
        <v>1550</v>
      </c>
      <c r="C167" s="10">
        <v>1.0999999999999999E-2</v>
      </c>
      <c r="D167" s="11">
        <v>0.3</v>
      </c>
      <c r="E167" s="11">
        <v>0.68899999999999995</v>
      </c>
      <c r="F167">
        <v>17</v>
      </c>
      <c r="G167">
        <v>465</v>
      </c>
      <c r="H167">
        <v>1068</v>
      </c>
      <c r="I167">
        <v>178</v>
      </c>
      <c r="K167" t="str">
        <f t="shared" si="2"/>
        <v>San Cristóbal y Nieves</v>
      </c>
    </row>
    <row r="168" spans="1:11" x14ac:dyDescent="0.25">
      <c r="A168" s="10" t="s">
        <v>42</v>
      </c>
      <c r="B168">
        <v>2064</v>
      </c>
      <c r="C168" s="10">
        <v>1E-3</v>
      </c>
      <c r="D168" s="11">
        <v>0.39200000000000002</v>
      </c>
      <c r="E168" s="11">
        <v>0.60699999999999998</v>
      </c>
      <c r="F168">
        <v>2</v>
      </c>
      <c r="G168">
        <v>809</v>
      </c>
      <c r="H168">
        <v>1253</v>
      </c>
      <c r="I168">
        <v>176</v>
      </c>
      <c r="K168" t="str">
        <f t="shared" si="2"/>
        <v>San Marino</v>
      </c>
    </row>
    <row r="169" spans="1:11" x14ac:dyDescent="0.25">
      <c r="A169" s="10" t="s">
        <v>120</v>
      </c>
      <c r="B169">
        <v>1265</v>
      </c>
      <c r="C169" s="10">
        <v>7.0999999999999994E-2</v>
      </c>
      <c r="D169" s="11">
        <v>0.17399999999999999</v>
      </c>
      <c r="E169" s="11">
        <v>0.755</v>
      </c>
      <c r="F169">
        <v>90</v>
      </c>
      <c r="G169">
        <v>220</v>
      </c>
      <c r="H169">
        <v>955</v>
      </c>
      <c r="I169">
        <v>181</v>
      </c>
      <c r="K169" t="str">
        <f t="shared" si="2"/>
        <v>San Vicente y las Granadinas</v>
      </c>
    </row>
    <row r="170" spans="1:11" x14ac:dyDescent="0.25">
      <c r="A170" s="10" t="s">
        <v>47</v>
      </c>
      <c r="B170">
        <v>2542</v>
      </c>
      <c r="C170" s="10">
        <v>2.9000000000000001E-2</v>
      </c>
      <c r="D170" s="11">
        <v>0.14199999999999999</v>
      </c>
      <c r="E170" s="11">
        <v>0.82799999999999996</v>
      </c>
      <c r="F170">
        <v>74</v>
      </c>
      <c r="G170">
        <v>361</v>
      </c>
      <c r="H170">
        <v>2105</v>
      </c>
      <c r="I170">
        <v>174</v>
      </c>
      <c r="K170" t="str">
        <f t="shared" si="2"/>
        <v>Santa Lucía</v>
      </c>
    </row>
    <row r="171" spans="1:11" x14ac:dyDescent="0.25">
      <c r="A171" s="10" t="s">
        <v>67</v>
      </c>
      <c r="B171">
        <v>686</v>
      </c>
      <c r="C171" s="10">
        <v>0.11799999999999999</v>
      </c>
      <c r="D171" s="11">
        <v>0.14799999999999999</v>
      </c>
      <c r="E171" s="11">
        <v>0.73399999999999999</v>
      </c>
      <c r="F171">
        <v>81</v>
      </c>
      <c r="G171">
        <v>102</v>
      </c>
      <c r="H171">
        <v>504</v>
      </c>
      <c r="I171">
        <v>185</v>
      </c>
      <c r="K171" t="str">
        <f t="shared" si="2"/>
        <v>Santo Tomé y Príncipe</v>
      </c>
    </row>
    <row r="172" spans="1:11" x14ac:dyDescent="0.25">
      <c r="A172" s="10" t="s">
        <v>214</v>
      </c>
      <c r="B172" t="s">
        <v>1500</v>
      </c>
      <c r="C172" s="10">
        <v>0.16900000000000001</v>
      </c>
      <c r="D172" s="11">
        <v>0.24299999999999999</v>
      </c>
      <c r="E172" s="11">
        <v>0.58799999999999997</v>
      </c>
      <c r="F172">
        <v>9261</v>
      </c>
      <c r="G172" t="s">
        <v>1501</v>
      </c>
      <c r="H172" t="s">
        <v>1502</v>
      </c>
      <c r="I172">
        <v>103</v>
      </c>
      <c r="K172" t="str">
        <f t="shared" si="2"/>
        <v>Senegal</v>
      </c>
    </row>
    <row r="173" spans="1:11" x14ac:dyDescent="0.25">
      <c r="A173" s="10" t="s">
        <v>64</v>
      </c>
      <c r="B173" t="s">
        <v>1503</v>
      </c>
      <c r="C173" s="10">
        <v>9.8000000000000004E-2</v>
      </c>
      <c r="D173" s="11">
        <v>0.41099999999999998</v>
      </c>
      <c r="E173" s="11">
        <v>0.49099999999999999</v>
      </c>
      <c r="F173" t="s">
        <v>1504</v>
      </c>
      <c r="G173" t="s">
        <v>1505</v>
      </c>
      <c r="H173" t="s">
        <v>1506</v>
      </c>
      <c r="I173">
        <v>79</v>
      </c>
      <c r="K173" t="str">
        <f t="shared" si="2"/>
        <v>Serbia</v>
      </c>
    </row>
    <row r="174" spans="1:11" x14ac:dyDescent="0.25">
      <c r="A174" s="10" t="s">
        <v>178</v>
      </c>
      <c r="B174">
        <v>2750</v>
      </c>
      <c r="C174" s="10">
        <v>2.5000000000000001E-2</v>
      </c>
      <c r="D174" s="11">
        <v>0.13800000000000001</v>
      </c>
      <c r="E174" s="11">
        <v>0.83699999999999997</v>
      </c>
      <c r="F174">
        <v>69</v>
      </c>
      <c r="G174">
        <v>380</v>
      </c>
      <c r="H174">
        <v>2302</v>
      </c>
      <c r="I174">
        <v>173</v>
      </c>
      <c r="K174" t="str">
        <f t="shared" si="2"/>
        <v>Seychelles</v>
      </c>
    </row>
    <row r="175" spans="1:11" x14ac:dyDescent="0.25">
      <c r="A175" s="10" t="s">
        <v>153</v>
      </c>
      <c r="B175" t="s">
        <v>1507</v>
      </c>
      <c r="C175" s="10">
        <v>0.60699999999999998</v>
      </c>
      <c r="D175" s="11">
        <v>6.5000000000000002E-2</v>
      </c>
      <c r="E175" s="11">
        <v>0.32900000000000001</v>
      </c>
      <c r="F175">
        <v>7011</v>
      </c>
      <c r="G175">
        <v>751</v>
      </c>
      <c r="H175">
        <v>3800</v>
      </c>
      <c r="I175">
        <v>151</v>
      </c>
      <c r="K175" t="str">
        <f t="shared" si="2"/>
        <v>Sierra Leona</v>
      </c>
    </row>
    <row r="176" spans="1:11" x14ac:dyDescent="0.25">
      <c r="A176" s="10" t="s">
        <v>175</v>
      </c>
      <c r="B176" t="s">
        <v>1508</v>
      </c>
      <c r="C176" s="10">
        <v>0</v>
      </c>
      <c r="D176" s="11">
        <v>0.248</v>
      </c>
      <c r="E176" s="11">
        <v>0.752</v>
      </c>
      <c r="F176">
        <v>0</v>
      </c>
      <c r="G176" t="s">
        <v>1509</v>
      </c>
      <c r="H176" t="s">
        <v>1510</v>
      </c>
      <c r="I176">
        <v>37</v>
      </c>
      <c r="K176" t="str">
        <f t="shared" si="2"/>
        <v>Singapur</v>
      </c>
    </row>
    <row r="177" spans="1:11" x14ac:dyDescent="0.25">
      <c r="A177" s="10" t="s">
        <v>33</v>
      </c>
      <c r="B177" t="s">
        <v>1511</v>
      </c>
      <c r="C177" s="10">
        <v>0.2</v>
      </c>
      <c r="D177" s="11">
        <v>0.19500000000000001</v>
      </c>
      <c r="E177" s="11">
        <v>0.60799999999999998</v>
      </c>
      <c r="F177" t="s">
        <v>1512</v>
      </c>
      <c r="G177">
        <v>9805</v>
      </c>
      <c r="H177" t="s">
        <v>1513</v>
      </c>
      <c r="I177">
        <v>106</v>
      </c>
      <c r="K177" t="str">
        <f t="shared" si="2"/>
        <v>Siria</v>
      </c>
    </row>
    <row r="178" spans="1:11" x14ac:dyDescent="0.25">
      <c r="A178" s="10" t="s">
        <v>107</v>
      </c>
      <c r="B178" t="s">
        <v>1514</v>
      </c>
      <c r="C178" s="10">
        <v>0.60199999999999998</v>
      </c>
      <c r="D178" s="11">
        <v>7.3999999999999996E-2</v>
      </c>
      <c r="E178" s="11">
        <v>0.32500000000000001</v>
      </c>
      <c r="F178" t="s">
        <v>1515</v>
      </c>
      <c r="G178">
        <v>1513</v>
      </c>
      <c r="H178">
        <v>6643</v>
      </c>
      <c r="I178">
        <v>143</v>
      </c>
      <c r="K178" t="str">
        <f t="shared" si="2"/>
        <v>Somalia</v>
      </c>
    </row>
    <row r="179" spans="1:11" x14ac:dyDescent="0.25">
      <c r="A179" s="10" t="s">
        <v>174</v>
      </c>
      <c r="B179" t="s">
        <v>1516</v>
      </c>
      <c r="C179" s="10">
        <v>7.8E-2</v>
      </c>
      <c r="D179" s="11">
        <v>0.30499999999999999</v>
      </c>
      <c r="E179" s="11">
        <v>0.61699999999999999</v>
      </c>
      <c r="F179" t="s">
        <v>1517</v>
      </c>
      <c r="G179" t="s">
        <v>1518</v>
      </c>
      <c r="H179" t="s">
        <v>1519</v>
      </c>
      <c r="I179">
        <v>59</v>
      </c>
      <c r="K179" t="str">
        <f t="shared" si="2"/>
        <v>Sri Lanka</v>
      </c>
    </row>
    <row r="180" spans="1:11" x14ac:dyDescent="0.25">
      <c r="A180" s="10" t="s">
        <v>1855</v>
      </c>
      <c r="B180" t="s">
        <v>1520</v>
      </c>
      <c r="C180" s="10">
        <v>6.5000000000000002E-2</v>
      </c>
      <c r="D180" s="11">
        <v>0.45</v>
      </c>
      <c r="E180" s="11">
        <v>0.48599999999999999</v>
      </c>
      <c r="F180">
        <v>754</v>
      </c>
      <c r="G180">
        <v>5220</v>
      </c>
      <c r="H180">
        <v>5638</v>
      </c>
      <c r="I180">
        <v>150</v>
      </c>
      <c r="K180" t="str">
        <f t="shared" si="2"/>
        <v>Suazilandia</v>
      </c>
    </row>
    <row r="181" spans="1:11" x14ac:dyDescent="0.25">
      <c r="A181" s="10" t="s">
        <v>30</v>
      </c>
      <c r="B181" t="s">
        <v>1521</v>
      </c>
      <c r="C181" s="10">
        <v>2.8000000000000001E-2</v>
      </c>
      <c r="D181" s="11">
        <v>0.29699999999999999</v>
      </c>
      <c r="E181" s="11">
        <v>0.67500000000000004</v>
      </c>
      <c r="F181" t="s">
        <v>1522</v>
      </c>
      <c r="G181" t="s">
        <v>1523</v>
      </c>
      <c r="H181" t="s">
        <v>1524</v>
      </c>
      <c r="I181">
        <v>29</v>
      </c>
      <c r="K181" t="str">
        <f t="shared" si="2"/>
        <v>Sudáfrica</v>
      </c>
    </row>
    <row r="182" spans="1:11" x14ac:dyDescent="0.25">
      <c r="A182" s="10" t="s">
        <v>119</v>
      </c>
      <c r="B182" t="s">
        <v>1525</v>
      </c>
      <c r="C182" s="10">
        <v>0.39600000000000002</v>
      </c>
      <c r="D182" s="11">
        <v>2.5999999999999999E-2</v>
      </c>
      <c r="E182" s="11">
        <v>0.57799999999999996</v>
      </c>
      <c r="F182" t="s">
        <v>1526</v>
      </c>
      <c r="G182">
        <v>4612</v>
      </c>
      <c r="H182" t="s">
        <v>1527</v>
      </c>
      <c r="I182">
        <v>69</v>
      </c>
      <c r="K182" t="str">
        <f t="shared" si="2"/>
        <v>Sudán</v>
      </c>
    </row>
    <row r="183" spans="1:11" x14ac:dyDescent="0.25">
      <c r="A183" s="10" t="s">
        <v>46</v>
      </c>
      <c r="B183" t="s">
        <v>1528</v>
      </c>
      <c r="C183" s="10">
        <v>1.6E-2</v>
      </c>
      <c r="D183" s="11">
        <v>0.33</v>
      </c>
      <c r="E183" s="11">
        <v>0.65400000000000003</v>
      </c>
      <c r="F183">
        <v>8288</v>
      </c>
      <c r="G183" t="s">
        <v>1529</v>
      </c>
      <c r="H183" t="s">
        <v>1530</v>
      </c>
      <c r="I183">
        <v>39</v>
      </c>
      <c r="K183" t="str">
        <f t="shared" si="2"/>
        <v>Suecia</v>
      </c>
    </row>
    <row r="184" spans="1:11" x14ac:dyDescent="0.25">
      <c r="A184" s="10" t="s">
        <v>35</v>
      </c>
      <c r="B184" t="s">
        <v>1531</v>
      </c>
      <c r="C184" s="10">
        <v>7.0000000000000001E-3</v>
      </c>
      <c r="D184" s="11">
        <v>0.25600000000000001</v>
      </c>
      <c r="E184" s="11">
        <v>0.73699999999999999</v>
      </c>
      <c r="F184">
        <v>3662</v>
      </c>
      <c r="G184" t="s">
        <v>1532</v>
      </c>
      <c r="H184" t="s">
        <v>1533</v>
      </c>
      <c r="I184">
        <v>38</v>
      </c>
      <c r="K184" t="str">
        <f t="shared" si="2"/>
        <v>Suiza</v>
      </c>
    </row>
    <row r="185" spans="1:11" x14ac:dyDescent="0.25">
      <c r="A185" s="10" t="s">
        <v>43</v>
      </c>
      <c r="B185">
        <v>8688</v>
      </c>
      <c r="C185" s="10">
        <v>0.11600000000000001</v>
      </c>
      <c r="D185" s="11">
        <v>0.311</v>
      </c>
      <c r="E185" s="11">
        <v>0.57399999999999995</v>
      </c>
      <c r="F185">
        <v>1008</v>
      </c>
      <c r="G185">
        <v>2702</v>
      </c>
      <c r="H185">
        <v>4987</v>
      </c>
      <c r="I185">
        <v>154</v>
      </c>
      <c r="K185" t="str">
        <f t="shared" si="2"/>
        <v>Surinam</v>
      </c>
    </row>
    <row r="186" spans="1:11" x14ac:dyDescent="0.25">
      <c r="A186" s="10" t="s">
        <v>78</v>
      </c>
      <c r="B186" t="s">
        <v>1534</v>
      </c>
      <c r="C186" s="10">
        <v>8.2000000000000003E-2</v>
      </c>
      <c r="D186" s="11">
        <v>0.36199999999999999</v>
      </c>
      <c r="E186" s="11">
        <v>0.55600000000000005</v>
      </c>
      <c r="F186" t="s">
        <v>1535</v>
      </c>
      <c r="G186" t="s">
        <v>1536</v>
      </c>
      <c r="H186" t="s">
        <v>1537</v>
      </c>
      <c r="I186">
        <v>20</v>
      </c>
      <c r="K186" t="str">
        <f t="shared" si="2"/>
        <v>Tailandia</v>
      </c>
    </row>
    <row r="187" spans="1:11" x14ac:dyDescent="0.25">
      <c r="A187" s="10" t="s">
        <v>217</v>
      </c>
      <c r="B187" t="s">
        <v>1538</v>
      </c>
      <c r="C187" s="10">
        <v>1.7999999999999999E-2</v>
      </c>
      <c r="D187" s="11">
        <v>0.36</v>
      </c>
      <c r="E187" s="11">
        <v>0.621</v>
      </c>
      <c r="F187" t="s">
        <v>1539</v>
      </c>
      <c r="G187" t="s">
        <v>1540</v>
      </c>
      <c r="H187" t="s">
        <v>1541</v>
      </c>
      <c r="I187" t="s">
        <v>1148</v>
      </c>
      <c r="K187" t="str">
        <f t="shared" si="2"/>
        <v>Taiwán</v>
      </c>
    </row>
    <row r="188" spans="1:11" x14ac:dyDescent="0.25">
      <c r="A188" s="10" t="s">
        <v>191</v>
      </c>
      <c r="B188" t="s">
        <v>1542</v>
      </c>
      <c r="C188" s="10">
        <v>0.23400000000000001</v>
      </c>
      <c r="D188" s="11">
        <v>0.28599999999999998</v>
      </c>
      <c r="E188" s="11">
        <v>0.47599999999999998</v>
      </c>
      <c r="F188" t="s">
        <v>1543</v>
      </c>
      <c r="G188" t="s">
        <v>1544</v>
      </c>
      <c r="H188" t="s">
        <v>1545</v>
      </c>
      <c r="I188">
        <v>73</v>
      </c>
      <c r="K188" t="str">
        <f t="shared" si="2"/>
        <v>Tanzania</v>
      </c>
    </row>
    <row r="189" spans="1:11" x14ac:dyDescent="0.25">
      <c r="A189" s="10" t="s">
        <v>216</v>
      </c>
      <c r="B189" t="s">
        <v>1546</v>
      </c>
      <c r="C189" s="10">
        <v>0.28599999999999998</v>
      </c>
      <c r="D189" s="11">
        <v>0.255</v>
      </c>
      <c r="E189" s="11">
        <v>0.45900000000000002</v>
      </c>
      <c r="F189">
        <v>8131</v>
      </c>
      <c r="G189">
        <v>7250</v>
      </c>
      <c r="H189" t="s">
        <v>1547</v>
      </c>
      <c r="I189">
        <v>131</v>
      </c>
      <c r="K189" t="str">
        <f t="shared" si="2"/>
        <v>Tayikistán</v>
      </c>
    </row>
    <row r="190" spans="1:11" x14ac:dyDescent="0.25">
      <c r="A190" s="10" t="s">
        <v>158</v>
      </c>
      <c r="B190">
        <v>7426</v>
      </c>
      <c r="C190" s="10">
        <v>9.0999999999999998E-2</v>
      </c>
      <c r="D190" s="11">
        <v>0.56699999999999995</v>
      </c>
      <c r="E190" s="11">
        <v>0.34399999999999997</v>
      </c>
      <c r="F190">
        <v>676</v>
      </c>
      <c r="G190">
        <v>4211</v>
      </c>
      <c r="H190">
        <v>2555</v>
      </c>
      <c r="I190">
        <v>158</v>
      </c>
      <c r="K190" t="str">
        <f t="shared" si="2"/>
        <v>Timor Oriental</v>
      </c>
    </row>
    <row r="191" spans="1:11" x14ac:dyDescent="0.25">
      <c r="A191" s="10" t="s">
        <v>192</v>
      </c>
      <c r="B191" t="s">
        <v>1548</v>
      </c>
      <c r="C191" s="10">
        <v>0.28799999999999998</v>
      </c>
      <c r="D191" s="11">
        <v>0.218</v>
      </c>
      <c r="E191" s="11">
        <v>0.498</v>
      </c>
      <c r="F191">
        <v>3735</v>
      </c>
      <c r="G191">
        <v>2827</v>
      </c>
      <c r="H191">
        <v>6459</v>
      </c>
      <c r="I191">
        <v>148</v>
      </c>
      <c r="K191" t="str">
        <f t="shared" si="2"/>
        <v>Togo</v>
      </c>
    </row>
    <row r="192" spans="1:11" x14ac:dyDescent="0.25">
      <c r="A192" s="10" t="s">
        <v>99</v>
      </c>
      <c r="B192">
        <v>591</v>
      </c>
      <c r="C192" s="10">
        <v>0.19900000000000001</v>
      </c>
      <c r="D192" s="11">
        <v>0.20300000000000001</v>
      </c>
      <c r="E192" s="11">
        <v>0.59799999999999998</v>
      </c>
      <c r="F192">
        <v>118</v>
      </c>
      <c r="G192">
        <v>120</v>
      </c>
      <c r="H192">
        <v>353</v>
      </c>
      <c r="I192">
        <v>186</v>
      </c>
      <c r="K192" t="str">
        <f t="shared" si="2"/>
        <v>Tonga</v>
      </c>
    </row>
    <row r="193" spans="1:11" x14ac:dyDescent="0.25">
      <c r="A193" s="10" t="s">
        <v>18</v>
      </c>
      <c r="B193" t="s">
        <v>1549</v>
      </c>
      <c r="C193" s="10">
        <v>4.0000000000000001E-3</v>
      </c>
      <c r="D193" s="11">
        <v>0.47799999999999998</v>
      </c>
      <c r="E193" s="11">
        <v>0.51700000000000002</v>
      </c>
      <c r="F193">
        <v>171</v>
      </c>
      <c r="G193" t="s">
        <v>1550</v>
      </c>
      <c r="H193" t="s">
        <v>1551</v>
      </c>
      <c r="I193">
        <v>110</v>
      </c>
      <c r="K193" t="str">
        <f t="shared" si="2"/>
        <v>Trinidad y Tobago</v>
      </c>
    </row>
    <row r="194" spans="1:11" x14ac:dyDescent="0.25">
      <c r="A194" s="10" t="s">
        <v>83</v>
      </c>
      <c r="B194" t="s">
        <v>1552</v>
      </c>
      <c r="C194" s="10">
        <v>0.10100000000000001</v>
      </c>
      <c r="D194" s="11">
        <v>0.26200000000000001</v>
      </c>
      <c r="E194" s="11">
        <v>0.63800000000000001</v>
      </c>
      <c r="F194" t="s">
        <v>1553</v>
      </c>
      <c r="G194" t="s">
        <v>1554</v>
      </c>
      <c r="H194" t="s">
        <v>1555</v>
      </c>
      <c r="I194">
        <v>76</v>
      </c>
      <c r="K194" t="str">
        <f t="shared" si="2"/>
        <v>Túnez</v>
      </c>
    </row>
    <row r="195" spans="1:11" x14ac:dyDescent="0.25">
      <c r="A195" s="10" t="s">
        <v>128</v>
      </c>
      <c r="B195" t="s">
        <v>1556</v>
      </c>
      <c r="C195" s="10">
        <v>7.4999999999999997E-2</v>
      </c>
      <c r="D195" s="11">
        <v>0.44900000000000001</v>
      </c>
      <c r="E195" s="11">
        <v>0.47699999999999998</v>
      </c>
      <c r="F195">
        <v>7778</v>
      </c>
      <c r="G195" t="s">
        <v>1557</v>
      </c>
      <c r="H195" t="s">
        <v>1558</v>
      </c>
      <c r="I195">
        <v>81</v>
      </c>
      <c r="K195" t="str">
        <f t="shared" ref="K195:K209" si="3">(TRIM(SUBSTITUTE(A195,CHAR(160),"")))</f>
        <v>Turkmenistán</v>
      </c>
    </row>
    <row r="196" spans="1:11" x14ac:dyDescent="0.25">
      <c r="A196" s="10" t="s">
        <v>129</v>
      </c>
      <c r="B196" t="s">
        <v>1559</v>
      </c>
      <c r="C196" s="10">
        <v>6.8000000000000005E-2</v>
      </c>
      <c r="D196" s="11">
        <v>0.32300000000000001</v>
      </c>
      <c r="E196" s="11">
        <v>0.60699999999999998</v>
      </c>
      <c r="F196" t="s">
        <v>1560</v>
      </c>
      <c r="G196" t="s">
        <v>1561</v>
      </c>
      <c r="H196" t="s">
        <v>1562</v>
      </c>
      <c r="I196">
        <v>13</v>
      </c>
      <c r="K196" t="str">
        <f t="shared" si="3"/>
        <v>Turquía</v>
      </c>
    </row>
    <row r="197" spans="1:11" x14ac:dyDescent="0.25">
      <c r="A197" s="10" t="s">
        <v>72</v>
      </c>
      <c r="B197">
        <v>42</v>
      </c>
      <c r="C197" s="10">
        <v>0.245</v>
      </c>
      <c r="D197" s="11">
        <v>5.6000000000000001E-2</v>
      </c>
      <c r="E197" s="11">
        <v>0.7</v>
      </c>
      <c r="F197">
        <v>10</v>
      </c>
      <c r="G197">
        <v>2</v>
      </c>
      <c r="H197">
        <v>29</v>
      </c>
      <c r="I197">
        <v>191</v>
      </c>
      <c r="K197" t="str">
        <f t="shared" si="3"/>
        <v>Tuvalu</v>
      </c>
    </row>
    <row r="198" spans="1:11" x14ac:dyDescent="0.25">
      <c r="A198" s="10" t="s">
        <v>51</v>
      </c>
      <c r="B198" t="s">
        <v>1563</v>
      </c>
      <c r="C198" s="10">
        <v>0.122</v>
      </c>
      <c r="D198" s="11">
        <v>0.28599999999999998</v>
      </c>
      <c r="E198" s="11">
        <v>0.6</v>
      </c>
      <c r="F198" t="s">
        <v>1564</v>
      </c>
      <c r="G198" t="s">
        <v>1565</v>
      </c>
      <c r="H198" t="s">
        <v>1566</v>
      </c>
      <c r="I198">
        <v>48</v>
      </c>
      <c r="K198" t="str">
        <f t="shared" si="3"/>
        <v>Ucrania</v>
      </c>
    </row>
    <row r="199" spans="1:11" x14ac:dyDescent="0.25">
      <c r="A199" s="10" t="s">
        <v>202</v>
      </c>
      <c r="B199" t="s">
        <v>1567</v>
      </c>
      <c r="C199" s="10">
        <v>0.28199999999999997</v>
      </c>
      <c r="D199" s="11">
        <v>0.21099999999999999</v>
      </c>
      <c r="E199" s="11">
        <v>0.50700000000000001</v>
      </c>
      <c r="F199" t="s">
        <v>1568</v>
      </c>
      <c r="G199" t="s">
        <v>1569</v>
      </c>
      <c r="H199" t="s">
        <v>1570</v>
      </c>
      <c r="I199">
        <v>86</v>
      </c>
      <c r="K199" t="str">
        <f t="shared" si="3"/>
        <v>Uganda</v>
      </c>
    </row>
    <row r="200" spans="1:11" x14ac:dyDescent="0.25">
      <c r="A200" s="10" t="s">
        <v>1856</v>
      </c>
      <c r="B200" t="s">
        <v>1571</v>
      </c>
      <c r="C200" s="10">
        <v>1.6E-2</v>
      </c>
      <c r="D200" s="11">
        <v>0.251</v>
      </c>
      <c r="E200" s="11">
        <v>0.70899999999999996</v>
      </c>
      <c r="F200" t="s">
        <v>1572</v>
      </c>
      <c r="G200" t="s">
        <v>1573</v>
      </c>
      <c r="H200" t="s">
        <v>1574</v>
      </c>
      <c r="I200" t="s">
        <v>1148</v>
      </c>
      <c r="K200" t="str">
        <f t="shared" si="3"/>
        <v>Unión Europea</v>
      </c>
    </row>
    <row r="201" spans="1:11" x14ac:dyDescent="0.25">
      <c r="A201" s="10" t="s">
        <v>50</v>
      </c>
      <c r="B201" t="s">
        <v>1575</v>
      </c>
      <c r="C201" s="10">
        <v>6.2E-2</v>
      </c>
      <c r="D201" s="11">
        <v>0.24099999999999999</v>
      </c>
      <c r="E201" s="11">
        <v>0.69699999999999995</v>
      </c>
      <c r="F201">
        <v>4846</v>
      </c>
      <c r="G201" t="s">
        <v>1576</v>
      </c>
      <c r="H201" t="s">
        <v>1577</v>
      </c>
      <c r="I201">
        <v>93</v>
      </c>
      <c r="K201" t="str">
        <f t="shared" si="3"/>
        <v>Uruguay</v>
      </c>
    </row>
    <row r="202" spans="1:11" x14ac:dyDescent="0.25">
      <c r="A202" s="10" t="s">
        <v>213</v>
      </c>
      <c r="B202" t="s">
        <v>1578</v>
      </c>
      <c r="C202" s="10">
        <v>0.17899999999999999</v>
      </c>
      <c r="D202" s="11">
        <v>0.33700000000000002</v>
      </c>
      <c r="E202" s="11">
        <v>0.48499999999999999</v>
      </c>
      <c r="F202" t="s">
        <v>1579</v>
      </c>
      <c r="G202" t="s">
        <v>1580</v>
      </c>
      <c r="H202" t="s">
        <v>1581</v>
      </c>
      <c r="I202">
        <v>61</v>
      </c>
      <c r="K202" t="str">
        <f t="shared" si="3"/>
        <v>Uzbekistán</v>
      </c>
    </row>
    <row r="203" spans="1:11" x14ac:dyDescent="0.25">
      <c r="A203" s="10" t="s">
        <v>109</v>
      </c>
      <c r="B203">
        <v>772</v>
      </c>
      <c r="C203" s="10">
        <v>0.27300000000000002</v>
      </c>
      <c r="D203" s="11">
        <v>0.11799999999999999</v>
      </c>
      <c r="E203" s="11">
        <v>0.60799999999999998</v>
      </c>
      <c r="F203">
        <v>211</v>
      </c>
      <c r="G203">
        <v>91</v>
      </c>
      <c r="H203">
        <v>469</v>
      </c>
      <c r="I203">
        <v>184</v>
      </c>
      <c r="K203" t="str">
        <f t="shared" si="3"/>
        <v>Vanuatu</v>
      </c>
    </row>
    <row r="204" spans="1:11" x14ac:dyDescent="0.25">
      <c r="A204" s="10" t="s">
        <v>45</v>
      </c>
      <c r="B204" t="s">
        <v>1582</v>
      </c>
      <c r="C204" s="10">
        <v>4.7E-2</v>
      </c>
      <c r="D204" s="11">
        <v>0.40400000000000003</v>
      </c>
      <c r="E204" s="11">
        <v>0.54900000000000004</v>
      </c>
      <c r="F204" t="s">
        <v>1583</v>
      </c>
      <c r="G204" t="s">
        <v>1584</v>
      </c>
      <c r="H204" t="s">
        <v>1585</v>
      </c>
      <c r="I204">
        <v>45</v>
      </c>
      <c r="K204" t="str">
        <f t="shared" si="3"/>
        <v>Venezuela</v>
      </c>
    </row>
    <row r="205" spans="1:11" x14ac:dyDescent="0.25">
      <c r="A205" s="10" t="s">
        <v>215</v>
      </c>
      <c r="B205" t="s">
        <v>1586</v>
      </c>
      <c r="C205" s="10">
        <v>0.153</v>
      </c>
      <c r="D205" s="11">
        <v>0.33300000000000002</v>
      </c>
      <c r="E205" s="11">
        <v>0.51300000000000001</v>
      </c>
      <c r="F205" t="s">
        <v>1587</v>
      </c>
      <c r="G205" t="s">
        <v>1588</v>
      </c>
      <c r="H205" t="s">
        <v>1589</v>
      </c>
      <c r="I205">
        <v>34</v>
      </c>
      <c r="K205" t="str">
        <f t="shared" si="3"/>
        <v>Vietnam</v>
      </c>
    </row>
    <row r="206" spans="1:11" x14ac:dyDescent="0.25">
      <c r="A206" s="10" t="s">
        <v>11</v>
      </c>
      <c r="B206" t="s">
        <v>1590</v>
      </c>
      <c r="C206" s="10">
        <v>0.20300000000000001</v>
      </c>
      <c r="D206" s="11">
        <v>0.11799999999999999</v>
      </c>
      <c r="E206" s="11">
        <v>0.67900000000000005</v>
      </c>
      <c r="F206" t="s">
        <v>1591</v>
      </c>
      <c r="G206">
        <v>8688</v>
      </c>
      <c r="H206" t="s">
        <v>1592</v>
      </c>
      <c r="I206">
        <v>94</v>
      </c>
      <c r="K206" t="str">
        <f t="shared" si="3"/>
        <v>Yemen</v>
      </c>
    </row>
    <row r="207" spans="1:11" x14ac:dyDescent="0.25">
      <c r="A207" s="10" t="s">
        <v>196</v>
      </c>
      <c r="B207">
        <v>3640</v>
      </c>
      <c r="C207" s="10">
        <v>2.4E-2</v>
      </c>
      <c r="D207" s="11">
        <v>0.17299999999999999</v>
      </c>
      <c r="E207" s="11">
        <v>0.80200000000000005</v>
      </c>
      <c r="F207">
        <v>87</v>
      </c>
      <c r="G207">
        <v>630</v>
      </c>
      <c r="H207">
        <v>2919</v>
      </c>
      <c r="I207">
        <v>168</v>
      </c>
      <c r="K207" t="str">
        <f t="shared" si="3"/>
        <v>Yibuti</v>
      </c>
    </row>
    <row r="208" spans="1:11" x14ac:dyDescent="0.25">
      <c r="A208" s="10" t="s">
        <v>135</v>
      </c>
      <c r="B208" t="s">
        <v>1593</v>
      </c>
      <c r="C208" s="10">
        <v>7.4999999999999997E-2</v>
      </c>
      <c r="D208" s="11">
        <v>0.35299999999999998</v>
      </c>
      <c r="E208" s="11">
        <v>0.56999999999999995</v>
      </c>
      <c r="F208">
        <v>5170</v>
      </c>
      <c r="G208" t="s">
        <v>1594</v>
      </c>
      <c r="H208" t="s">
        <v>1595</v>
      </c>
      <c r="I208">
        <v>98</v>
      </c>
      <c r="K208" t="str">
        <f t="shared" si="3"/>
        <v>Zambia</v>
      </c>
    </row>
    <row r="209" spans="1:11" x14ac:dyDescent="0.25">
      <c r="A209" s="10" t="s">
        <v>211</v>
      </c>
      <c r="B209" t="s">
        <v>1596</v>
      </c>
      <c r="C209" s="10">
        <v>0.12</v>
      </c>
      <c r="D209" s="11">
        <v>0.222</v>
      </c>
      <c r="E209" s="11">
        <v>0.65800000000000003</v>
      </c>
      <c r="F209">
        <v>4112</v>
      </c>
      <c r="G209">
        <v>7608</v>
      </c>
      <c r="H209" t="s">
        <v>1597</v>
      </c>
      <c r="I209">
        <v>123</v>
      </c>
      <c r="K209" t="str">
        <f t="shared" si="3"/>
        <v>Zimbabue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E048-3209-4F92-B53B-1C85536D1261}">
  <dimension ref="A1:C140"/>
  <sheetViews>
    <sheetView workbookViewId="0">
      <selection sqref="A1:A1048576"/>
    </sheetView>
  </sheetViews>
  <sheetFormatPr baseColWidth="10" defaultRowHeight="15" x14ac:dyDescent="0.25"/>
  <cols>
    <col min="1" max="1" width="26" bestFit="1" customWidth="1"/>
    <col min="2" max="2" width="40.140625" customWidth="1"/>
    <col min="3" max="3" width="28.28515625" customWidth="1"/>
  </cols>
  <sheetData>
    <row r="1" spans="1:3" x14ac:dyDescent="0.25">
      <c r="A1" t="s">
        <v>1602</v>
      </c>
      <c r="B1" t="s">
        <v>1603</v>
      </c>
      <c r="C1" t="s">
        <v>1604</v>
      </c>
    </row>
    <row r="2" spans="1:3" x14ac:dyDescent="0.25">
      <c r="A2" t="s">
        <v>1605</v>
      </c>
      <c r="B2" t="s">
        <v>1606</v>
      </c>
      <c r="C2" t="s">
        <v>1607</v>
      </c>
    </row>
    <row r="3" spans="1:3" x14ac:dyDescent="0.25">
      <c r="A3" t="s">
        <v>1608</v>
      </c>
      <c r="B3" t="s">
        <v>1609</v>
      </c>
      <c r="C3">
        <v>627</v>
      </c>
    </row>
    <row r="4" spans="1:3" x14ac:dyDescent="0.25">
      <c r="A4" t="s">
        <v>1610</v>
      </c>
      <c r="B4" t="s">
        <v>1611</v>
      </c>
      <c r="C4" s="5">
        <v>17845</v>
      </c>
    </row>
    <row r="5" spans="1:3" x14ac:dyDescent="0.25">
      <c r="A5" t="s">
        <v>157</v>
      </c>
      <c r="B5" t="s">
        <v>1612</v>
      </c>
      <c r="C5" s="5">
        <v>37554</v>
      </c>
    </row>
    <row r="6" spans="1:3" x14ac:dyDescent="0.25">
      <c r="A6" t="s">
        <v>138</v>
      </c>
      <c r="B6" t="s">
        <v>1613</v>
      </c>
      <c r="C6" s="5">
        <v>1352875</v>
      </c>
    </row>
    <row r="7" spans="1:3" x14ac:dyDescent="0.25">
      <c r="A7" t="s">
        <v>152</v>
      </c>
      <c r="B7" t="s">
        <v>1614</v>
      </c>
      <c r="C7">
        <v>1027</v>
      </c>
    </row>
    <row r="8" spans="1:3" x14ac:dyDescent="0.25">
      <c r="A8" t="s">
        <v>185</v>
      </c>
      <c r="B8" t="s">
        <v>1615</v>
      </c>
      <c r="C8" t="s">
        <v>1616</v>
      </c>
    </row>
    <row r="9" spans="1:3" x14ac:dyDescent="0.25">
      <c r="A9" t="s">
        <v>56</v>
      </c>
      <c r="B9" t="s">
        <v>1617</v>
      </c>
      <c r="C9" t="s">
        <v>1618</v>
      </c>
    </row>
    <row r="10" spans="1:3" x14ac:dyDescent="0.25">
      <c r="A10" t="s">
        <v>993</v>
      </c>
      <c r="B10" t="s">
        <v>1619</v>
      </c>
      <c r="C10" t="s">
        <v>1620</v>
      </c>
    </row>
    <row r="11" spans="1:3" x14ac:dyDescent="0.25">
      <c r="A11" t="s">
        <v>123</v>
      </c>
      <c r="B11" t="s">
        <v>1621</v>
      </c>
      <c r="C11">
        <v>119</v>
      </c>
    </row>
    <row r="12" spans="1:3" x14ac:dyDescent="0.25">
      <c r="A12" t="s">
        <v>92</v>
      </c>
      <c r="B12" t="s">
        <v>1622</v>
      </c>
      <c r="C12" s="5">
        <v>19981</v>
      </c>
    </row>
    <row r="13" spans="1:3" x14ac:dyDescent="0.25">
      <c r="A13" t="s">
        <v>93</v>
      </c>
      <c r="B13" t="s">
        <v>1623</v>
      </c>
      <c r="C13" s="5">
        <v>20002</v>
      </c>
    </row>
    <row r="14" spans="1:3" x14ac:dyDescent="0.25">
      <c r="A14" t="s">
        <v>1624</v>
      </c>
      <c r="B14" t="s">
        <v>1625</v>
      </c>
      <c r="C14" s="5">
        <v>85255</v>
      </c>
    </row>
    <row r="15" spans="1:3" x14ac:dyDescent="0.25">
      <c r="A15" t="s">
        <v>34</v>
      </c>
      <c r="B15" t="s">
        <v>1626</v>
      </c>
      <c r="C15">
        <v>19560</v>
      </c>
    </row>
    <row r="16" spans="1:3" x14ac:dyDescent="0.25">
      <c r="A16" t="s">
        <v>999</v>
      </c>
      <c r="B16" t="s">
        <v>1627</v>
      </c>
      <c r="C16" t="s">
        <v>1628</v>
      </c>
    </row>
    <row r="17" spans="1:3" x14ac:dyDescent="0.25">
      <c r="A17" t="s">
        <v>32</v>
      </c>
      <c r="B17" t="s">
        <v>1629</v>
      </c>
      <c r="C17" t="s">
        <v>1630</v>
      </c>
    </row>
    <row r="18" spans="1:3" x14ac:dyDescent="0.25">
      <c r="A18" t="s">
        <v>1631</v>
      </c>
      <c r="B18" t="s">
        <v>1632</v>
      </c>
      <c r="C18" s="5">
        <v>18803</v>
      </c>
    </row>
    <row r="19" spans="1:3" x14ac:dyDescent="0.25">
      <c r="A19" t="s">
        <v>1633</v>
      </c>
      <c r="B19" t="s">
        <v>1634</v>
      </c>
      <c r="C19" t="s">
        <v>1635</v>
      </c>
    </row>
    <row r="20" spans="1:3" x14ac:dyDescent="0.25">
      <c r="A20" t="s">
        <v>74</v>
      </c>
      <c r="B20" t="s">
        <v>1636</v>
      </c>
      <c r="C20" s="5">
        <v>6184</v>
      </c>
    </row>
    <row r="21" spans="1:3" x14ac:dyDescent="0.25">
      <c r="A21" t="s">
        <v>1002</v>
      </c>
      <c r="B21" t="s">
        <v>1637</v>
      </c>
      <c r="C21" s="5">
        <v>13587</v>
      </c>
    </row>
    <row r="22" spans="1:3" x14ac:dyDescent="0.25">
      <c r="A22" t="s">
        <v>113</v>
      </c>
      <c r="B22" t="s">
        <v>1638</v>
      </c>
      <c r="C22" s="5">
        <v>18809</v>
      </c>
    </row>
    <row r="23" spans="1:3" x14ac:dyDescent="0.25">
      <c r="A23" t="s">
        <v>140</v>
      </c>
      <c r="B23" t="s">
        <v>1639</v>
      </c>
      <c r="C23">
        <v>2914</v>
      </c>
    </row>
    <row r="24" spans="1:3" x14ac:dyDescent="0.25">
      <c r="A24" t="s">
        <v>184</v>
      </c>
      <c r="B24" t="s">
        <v>1640</v>
      </c>
      <c r="C24" t="s">
        <v>1641</v>
      </c>
    </row>
    <row r="25" spans="1:3" x14ac:dyDescent="0.25">
      <c r="A25" t="s">
        <v>173</v>
      </c>
      <c r="B25" t="s">
        <v>1642</v>
      </c>
      <c r="C25">
        <v>4016</v>
      </c>
    </row>
    <row r="26" spans="1:3" x14ac:dyDescent="0.25">
      <c r="A26" t="s">
        <v>1643</v>
      </c>
      <c r="B26" t="s">
        <v>1644</v>
      </c>
      <c r="C26" s="5">
        <v>14391</v>
      </c>
    </row>
    <row r="27" spans="1:3" x14ac:dyDescent="0.25">
      <c r="A27" t="s">
        <v>75</v>
      </c>
      <c r="B27" t="s">
        <v>1645</v>
      </c>
      <c r="C27" t="s">
        <v>1646</v>
      </c>
    </row>
    <row r="28" spans="1:3" x14ac:dyDescent="0.25">
      <c r="A28" t="s">
        <v>170</v>
      </c>
      <c r="B28" t="s">
        <v>1647</v>
      </c>
      <c r="C28" s="5">
        <v>72986</v>
      </c>
    </row>
    <row r="29" spans="1:3" x14ac:dyDescent="0.25">
      <c r="A29" t="s">
        <v>1648</v>
      </c>
      <c r="B29" t="s">
        <v>1649</v>
      </c>
      <c r="C29" t="s">
        <v>1650</v>
      </c>
    </row>
    <row r="30" spans="1:3" x14ac:dyDescent="0.25">
      <c r="A30" t="s">
        <v>87</v>
      </c>
      <c r="B30" t="s">
        <v>1651</v>
      </c>
      <c r="C30" t="s">
        <v>1652</v>
      </c>
    </row>
    <row r="31" spans="1:3" x14ac:dyDescent="0.25">
      <c r="A31" t="s">
        <v>137</v>
      </c>
      <c r="B31" t="s">
        <v>1653</v>
      </c>
      <c r="C31" t="s">
        <v>1654</v>
      </c>
    </row>
    <row r="32" spans="1:3" x14ac:dyDescent="0.25">
      <c r="A32" t="s">
        <v>26</v>
      </c>
      <c r="B32" t="s">
        <v>1655</v>
      </c>
      <c r="C32" t="s">
        <v>1656</v>
      </c>
    </row>
    <row r="33" spans="1:3" x14ac:dyDescent="0.25">
      <c r="A33" t="s">
        <v>160</v>
      </c>
      <c r="B33" t="s">
        <v>1657</v>
      </c>
      <c r="C33" t="s">
        <v>1658</v>
      </c>
    </row>
    <row r="34" spans="1:3" x14ac:dyDescent="0.25">
      <c r="A34" t="s">
        <v>117</v>
      </c>
      <c r="B34" t="s">
        <v>1659</v>
      </c>
      <c r="C34" s="5">
        <v>70385</v>
      </c>
    </row>
    <row r="35" spans="1:3" x14ac:dyDescent="0.25">
      <c r="A35" t="s">
        <v>102</v>
      </c>
      <c r="B35" t="s">
        <v>1660</v>
      </c>
      <c r="C35" s="5">
        <v>71726</v>
      </c>
    </row>
    <row r="36" spans="1:3" x14ac:dyDescent="0.25">
      <c r="A36" t="s">
        <v>1661</v>
      </c>
      <c r="B36" t="s">
        <v>1662</v>
      </c>
      <c r="C36" t="s">
        <v>1663</v>
      </c>
    </row>
    <row r="37" spans="1:3" x14ac:dyDescent="0.25">
      <c r="A37" t="s">
        <v>154</v>
      </c>
      <c r="B37" t="s">
        <v>1664</v>
      </c>
      <c r="C37" t="s">
        <v>1665</v>
      </c>
    </row>
    <row r="38" spans="1:3" x14ac:dyDescent="0.25">
      <c r="A38" t="s">
        <v>131</v>
      </c>
      <c r="B38" t="s">
        <v>1666</v>
      </c>
      <c r="C38" s="5">
        <v>87498</v>
      </c>
    </row>
    <row r="39" spans="1:3" x14ac:dyDescent="0.25">
      <c r="A39" t="s">
        <v>1667</v>
      </c>
      <c r="B39" t="s">
        <v>1668</v>
      </c>
      <c r="C39" s="5">
        <v>36727</v>
      </c>
    </row>
    <row r="40" spans="1:3" x14ac:dyDescent="0.25">
      <c r="A40" t="s">
        <v>98</v>
      </c>
      <c r="B40" t="s">
        <v>1669</v>
      </c>
      <c r="C40">
        <v>15</v>
      </c>
    </row>
    <row r="41" spans="1:3" x14ac:dyDescent="0.25">
      <c r="A41" t="s">
        <v>1670</v>
      </c>
      <c r="B41" t="s">
        <v>1671</v>
      </c>
      <c r="C41" t="s">
        <v>1672</v>
      </c>
    </row>
    <row r="42" spans="1:3" x14ac:dyDescent="0.25">
      <c r="A42" t="s">
        <v>218</v>
      </c>
      <c r="B42" t="s">
        <v>1673</v>
      </c>
      <c r="C42" s="5">
        <v>1251051</v>
      </c>
    </row>
    <row r="43" spans="1:3" x14ac:dyDescent="0.25">
      <c r="A43" t="s">
        <v>1674</v>
      </c>
      <c r="B43" t="s">
        <v>1675</v>
      </c>
      <c r="C43" s="5">
        <v>10397</v>
      </c>
    </row>
    <row r="44" spans="1:3" x14ac:dyDescent="0.25">
      <c r="A44" t="s">
        <v>1676</v>
      </c>
      <c r="B44" t="s">
        <v>1677</v>
      </c>
      <c r="C44" t="s">
        <v>1678</v>
      </c>
    </row>
    <row r="45" spans="1:3" x14ac:dyDescent="0.25">
      <c r="A45" t="s">
        <v>155</v>
      </c>
      <c r="B45" t="s">
        <v>1679</v>
      </c>
      <c r="C45" s="5">
        <v>57942</v>
      </c>
    </row>
    <row r="46" spans="1:3" x14ac:dyDescent="0.25">
      <c r="A46" t="s">
        <v>194</v>
      </c>
      <c r="B46" t="s">
        <v>1680</v>
      </c>
      <c r="C46">
        <v>72</v>
      </c>
    </row>
    <row r="47" spans="1:3" x14ac:dyDescent="0.25">
      <c r="A47" t="s">
        <v>209</v>
      </c>
      <c r="B47" t="s">
        <v>1681</v>
      </c>
      <c r="C47" t="s">
        <v>1013</v>
      </c>
    </row>
    <row r="48" spans="1:3" x14ac:dyDescent="0.25">
      <c r="A48" t="s">
        <v>193</v>
      </c>
      <c r="B48" t="s">
        <v>1682</v>
      </c>
      <c r="C48" t="s">
        <v>1683</v>
      </c>
    </row>
    <row r="49" spans="1:3" x14ac:dyDescent="0.25">
      <c r="A49" t="s">
        <v>1684</v>
      </c>
      <c r="B49" t="s">
        <v>1685</v>
      </c>
      <c r="C49" s="5">
        <v>12537</v>
      </c>
    </row>
    <row r="50" spans="1:3" x14ac:dyDescent="0.25">
      <c r="A50" t="s">
        <v>144</v>
      </c>
      <c r="B50" t="s">
        <v>1686</v>
      </c>
      <c r="C50" t="s">
        <v>1687</v>
      </c>
    </row>
    <row r="51" spans="1:3" x14ac:dyDescent="0.25">
      <c r="A51" t="s">
        <v>201</v>
      </c>
      <c r="B51" t="s">
        <v>1688</v>
      </c>
      <c r="C51">
        <v>8600</v>
      </c>
    </row>
    <row r="52" spans="1:3" x14ac:dyDescent="0.25">
      <c r="A52" t="s">
        <v>62</v>
      </c>
      <c r="B52" t="s">
        <v>1689</v>
      </c>
      <c r="C52" t="s">
        <v>1690</v>
      </c>
    </row>
    <row r="53" spans="1:3" x14ac:dyDescent="0.25">
      <c r="A53" t="s">
        <v>1691</v>
      </c>
      <c r="B53" t="s">
        <v>1692</v>
      </c>
      <c r="C53" s="5">
        <v>130241</v>
      </c>
    </row>
    <row r="54" spans="1:3" x14ac:dyDescent="0.25">
      <c r="A54" t="s">
        <v>132</v>
      </c>
      <c r="B54" t="s">
        <v>1693</v>
      </c>
      <c r="C54" s="5">
        <v>253152</v>
      </c>
    </row>
    <row r="55" spans="1:3" x14ac:dyDescent="0.25">
      <c r="A55" t="s">
        <v>124</v>
      </c>
      <c r="B55" t="s">
        <v>1694</v>
      </c>
      <c r="C55" s="5">
        <v>77676</v>
      </c>
    </row>
    <row r="56" spans="1:3" x14ac:dyDescent="0.25">
      <c r="A56" t="s">
        <v>6</v>
      </c>
      <c r="B56" t="s">
        <v>1695</v>
      </c>
      <c r="C56" t="s">
        <v>1696</v>
      </c>
    </row>
    <row r="57" spans="1:3" x14ac:dyDescent="0.25">
      <c r="A57" t="s">
        <v>212</v>
      </c>
      <c r="B57" t="s">
        <v>1697</v>
      </c>
      <c r="C57" s="5">
        <v>85254</v>
      </c>
    </row>
    <row r="58" spans="1:3" x14ac:dyDescent="0.25">
      <c r="A58" t="s">
        <v>180</v>
      </c>
      <c r="B58" t="s">
        <v>1698</v>
      </c>
      <c r="C58" t="s">
        <v>1699</v>
      </c>
    </row>
    <row r="59" spans="1:3" x14ac:dyDescent="0.25">
      <c r="A59" t="s">
        <v>7</v>
      </c>
      <c r="B59" t="s">
        <v>1700</v>
      </c>
      <c r="C59">
        <v>1309</v>
      </c>
    </row>
    <row r="60" spans="1:3" x14ac:dyDescent="0.25">
      <c r="A60" t="s">
        <v>1701</v>
      </c>
      <c r="B60" t="s">
        <v>1702</v>
      </c>
      <c r="C60">
        <v>42000</v>
      </c>
    </row>
    <row r="61" spans="1:3" x14ac:dyDescent="0.25">
      <c r="A61" t="s">
        <v>36</v>
      </c>
      <c r="B61" t="s">
        <v>1703</v>
      </c>
      <c r="C61" t="s">
        <v>1704</v>
      </c>
    </row>
    <row r="62" spans="1:3" x14ac:dyDescent="0.25">
      <c r="A62" t="s">
        <v>151</v>
      </c>
      <c r="B62" t="s">
        <v>1705</v>
      </c>
      <c r="C62" t="s">
        <v>1706</v>
      </c>
    </row>
    <row r="63" spans="1:3" x14ac:dyDescent="0.25">
      <c r="A63" t="s">
        <v>1707</v>
      </c>
      <c r="B63" t="s">
        <v>1708</v>
      </c>
      <c r="C63" s="5">
        <v>12537</v>
      </c>
    </row>
    <row r="64" spans="1:3" x14ac:dyDescent="0.25">
      <c r="A64" t="s">
        <v>1709</v>
      </c>
      <c r="B64" t="s">
        <v>1710</v>
      </c>
      <c r="C64" t="s">
        <v>1711</v>
      </c>
    </row>
    <row r="65" spans="1:3" x14ac:dyDescent="0.25">
      <c r="A65" t="s">
        <v>103</v>
      </c>
      <c r="B65" t="s">
        <v>1712</v>
      </c>
      <c r="C65" s="5">
        <v>36579</v>
      </c>
    </row>
    <row r="66" spans="1:3" x14ac:dyDescent="0.25">
      <c r="A66" t="s">
        <v>2</v>
      </c>
      <c r="B66" t="s">
        <v>1713</v>
      </c>
      <c r="C66" t="s">
        <v>1714</v>
      </c>
    </row>
    <row r="67" spans="1:3" x14ac:dyDescent="0.25">
      <c r="A67" t="s">
        <v>1715</v>
      </c>
      <c r="B67" t="s">
        <v>1716</v>
      </c>
      <c r="C67" t="s">
        <v>1717</v>
      </c>
    </row>
    <row r="68" spans="1:3" x14ac:dyDescent="0.25">
      <c r="A68" t="s">
        <v>89</v>
      </c>
      <c r="B68" t="s">
        <v>1718</v>
      </c>
      <c r="C68" t="s">
        <v>1719</v>
      </c>
    </row>
    <row r="69" spans="1:3" x14ac:dyDescent="0.25">
      <c r="A69" t="s">
        <v>1720</v>
      </c>
      <c r="B69" t="s">
        <v>1721</v>
      </c>
      <c r="C69" t="s">
        <v>1722</v>
      </c>
    </row>
    <row r="70" spans="1:3" x14ac:dyDescent="0.25">
      <c r="A70" t="s">
        <v>165</v>
      </c>
      <c r="B70" t="s">
        <v>1723</v>
      </c>
      <c r="C70">
        <v>129</v>
      </c>
    </row>
    <row r="71" spans="1:3" x14ac:dyDescent="0.25">
      <c r="A71" t="s">
        <v>122</v>
      </c>
      <c r="B71" t="s">
        <v>1724</v>
      </c>
      <c r="C71" t="s">
        <v>1725</v>
      </c>
    </row>
    <row r="72" spans="1:3" x14ac:dyDescent="0.25">
      <c r="A72" t="s">
        <v>1726</v>
      </c>
      <c r="B72" t="s">
        <v>1727</v>
      </c>
      <c r="C72">
        <v>87</v>
      </c>
    </row>
    <row r="73" spans="1:3" x14ac:dyDescent="0.25">
      <c r="A73" t="s">
        <v>163</v>
      </c>
      <c r="B73" t="s">
        <v>1728</v>
      </c>
      <c r="C73">
        <v>21744</v>
      </c>
    </row>
    <row r="74" spans="1:3" x14ac:dyDescent="0.25">
      <c r="A74" t="s">
        <v>1729</v>
      </c>
      <c r="B74" t="s">
        <v>1730</v>
      </c>
      <c r="C74">
        <v>89500</v>
      </c>
    </row>
    <row r="75" spans="1:3" x14ac:dyDescent="0.25">
      <c r="A75" t="s">
        <v>181</v>
      </c>
      <c r="B75" t="s">
        <v>1731</v>
      </c>
      <c r="C75">
        <v>181</v>
      </c>
    </row>
    <row r="76" spans="1:3" x14ac:dyDescent="0.25">
      <c r="A76" t="s">
        <v>59</v>
      </c>
      <c r="B76" t="s">
        <v>1732</v>
      </c>
      <c r="C76" s="5">
        <v>49061</v>
      </c>
    </row>
    <row r="77" spans="1:3" x14ac:dyDescent="0.25">
      <c r="A77" t="s">
        <v>1733</v>
      </c>
      <c r="B77" t="s">
        <v>1734</v>
      </c>
      <c r="C77" s="5">
        <v>7993</v>
      </c>
    </row>
    <row r="78" spans="1:3" x14ac:dyDescent="0.25">
      <c r="A78" t="s">
        <v>1735</v>
      </c>
      <c r="B78" t="s">
        <v>1736</v>
      </c>
      <c r="C78" t="s">
        <v>1737</v>
      </c>
    </row>
    <row r="79" spans="1:3" x14ac:dyDescent="0.25">
      <c r="A79" t="s">
        <v>100</v>
      </c>
      <c r="B79" t="s">
        <v>1738</v>
      </c>
      <c r="C79">
        <v>4683</v>
      </c>
    </row>
    <row r="80" spans="1:3" x14ac:dyDescent="0.25">
      <c r="A80" t="s">
        <v>182</v>
      </c>
      <c r="B80" t="s">
        <v>1739</v>
      </c>
      <c r="C80" s="5">
        <v>4467</v>
      </c>
    </row>
    <row r="81" spans="1:3" x14ac:dyDescent="0.25">
      <c r="A81" t="s">
        <v>1044</v>
      </c>
      <c r="B81" t="s">
        <v>1740</v>
      </c>
      <c r="C81" t="s">
        <v>1741</v>
      </c>
    </row>
    <row r="82" spans="1:3" x14ac:dyDescent="0.25">
      <c r="A82" t="s">
        <v>176</v>
      </c>
      <c r="B82" t="s">
        <v>1742</v>
      </c>
      <c r="C82" t="s">
        <v>1743</v>
      </c>
    </row>
    <row r="83" spans="1:3" x14ac:dyDescent="0.25">
      <c r="A83" t="s">
        <v>114</v>
      </c>
      <c r="B83" t="s">
        <v>1744</v>
      </c>
      <c r="C83" t="s">
        <v>1745</v>
      </c>
    </row>
    <row r="84" spans="1:3" x14ac:dyDescent="0.25">
      <c r="A84" t="s">
        <v>148</v>
      </c>
      <c r="B84" t="s">
        <v>1746</v>
      </c>
      <c r="C84">
        <v>356</v>
      </c>
    </row>
    <row r="85" spans="1:3" x14ac:dyDescent="0.25">
      <c r="A85" t="s">
        <v>12</v>
      </c>
      <c r="B85" t="s">
        <v>1747</v>
      </c>
      <c r="C85" s="5">
        <v>201572</v>
      </c>
    </row>
    <row r="86" spans="1:3" x14ac:dyDescent="0.25">
      <c r="A86" t="s">
        <v>79</v>
      </c>
      <c r="B86" t="s">
        <v>1748</v>
      </c>
      <c r="C86" t="s">
        <v>1749</v>
      </c>
    </row>
    <row r="87" spans="1:3" x14ac:dyDescent="0.25">
      <c r="A87" t="s">
        <v>203</v>
      </c>
      <c r="B87" t="s">
        <v>1750</v>
      </c>
      <c r="C87">
        <v>3419</v>
      </c>
    </row>
    <row r="88" spans="1:3" x14ac:dyDescent="0.25">
      <c r="A88" t="s">
        <v>9</v>
      </c>
      <c r="B88" t="s">
        <v>1751</v>
      </c>
      <c r="C88" t="s">
        <v>1752</v>
      </c>
    </row>
    <row r="89" spans="1:3" x14ac:dyDescent="0.25">
      <c r="A89" t="s">
        <v>80</v>
      </c>
      <c r="B89" t="s">
        <v>1753</v>
      </c>
      <c r="C89" s="5">
        <v>187459</v>
      </c>
    </row>
    <row r="90" spans="1:3" x14ac:dyDescent="0.25">
      <c r="A90" t="s">
        <v>161</v>
      </c>
      <c r="B90" t="s">
        <v>1754</v>
      </c>
      <c r="C90" t="s">
        <v>1755</v>
      </c>
    </row>
    <row r="91" spans="1:3" x14ac:dyDescent="0.25">
      <c r="A91" t="s">
        <v>169</v>
      </c>
      <c r="B91" t="s">
        <v>1756</v>
      </c>
      <c r="C91" t="s">
        <v>1757</v>
      </c>
    </row>
    <row r="92" spans="1:3" x14ac:dyDescent="0.25">
      <c r="A92" t="s">
        <v>143</v>
      </c>
      <c r="B92" t="s">
        <v>1758</v>
      </c>
      <c r="C92" t="s">
        <v>1759</v>
      </c>
    </row>
    <row r="93" spans="1:3" x14ac:dyDescent="0.25">
      <c r="A93" t="s">
        <v>29</v>
      </c>
      <c r="B93" t="s">
        <v>1760</v>
      </c>
      <c r="C93" s="5">
        <v>113588</v>
      </c>
    </row>
    <row r="94" spans="1:3" x14ac:dyDescent="0.25">
      <c r="A94" t="s">
        <v>4</v>
      </c>
      <c r="B94" t="s">
        <v>1761</v>
      </c>
      <c r="C94" t="s">
        <v>1762</v>
      </c>
    </row>
    <row r="95" spans="1:3" x14ac:dyDescent="0.25">
      <c r="A95" t="s">
        <v>1763</v>
      </c>
      <c r="B95" t="s">
        <v>1764</v>
      </c>
      <c r="C95" t="s">
        <v>1765</v>
      </c>
    </row>
    <row r="96" spans="1:3" x14ac:dyDescent="0.25">
      <c r="A96" t="s">
        <v>1766</v>
      </c>
      <c r="B96" t="s">
        <v>1767</v>
      </c>
      <c r="C96" t="s">
        <v>1768</v>
      </c>
    </row>
    <row r="97" spans="1:3" x14ac:dyDescent="0.25">
      <c r="A97" t="s">
        <v>1769</v>
      </c>
      <c r="B97" t="s">
        <v>1770</v>
      </c>
      <c r="C97" t="s">
        <v>1771</v>
      </c>
    </row>
    <row r="98" spans="1:3" x14ac:dyDescent="0.25">
      <c r="A98" t="s">
        <v>195</v>
      </c>
      <c r="B98" t="s">
        <v>1772</v>
      </c>
      <c r="C98" t="s">
        <v>1773</v>
      </c>
    </row>
    <row r="99" spans="1:3" x14ac:dyDescent="0.25">
      <c r="A99" t="s">
        <v>121</v>
      </c>
      <c r="B99" t="s">
        <v>1774</v>
      </c>
      <c r="C99" s="5">
        <v>3732</v>
      </c>
    </row>
    <row r="100" spans="1:3" x14ac:dyDescent="0.25">
      <c r="A100" t="s">
        <v>127</v>
      </c>
      <c r="B100" t="s">
        <v>1775</v>
      </c>
      <c r="C100" s="5">
        <v>41006</v>
      </c>
    </row>
    <row r="101" spans="1:3" x14ac:dyDescent="0.25">
      <c r="A101" t="s">
        <v>1059</v>
      </c>
      <c r="B101" t="s">
        <v>1776</v>
      </c>
      <c r="C101" s="5">
        <v>3644</v>
      </c>
    </row>
    <row r="102" spans="1:3" x14ac:dyDescent="0.25">
      <c r="A102" t="s">
        <v>38</v>
      </c>
      <c r="B102" t="s">
        <v>1777</v>
      </c>
      <c r="C102" s="5">
        <v>12521</v>
      </c>
    </row>
    <row r="103" spans="1:3" x14ac:dyDescent="0.25">
      <c r="A103" t="s">
        <v>1778</v>
      </c>
      <c r="B103" t="s">
        <v>1779</v>
      </c>
      <c r="C103">
        <v>2820</v>
      </c>
    </row>
    <row r="104" spans="1:3" x14ac:dyDescent="0.25">
      <c r="A104" t="s">
        <v>1780</v>
      </c>
      <c r="B104" t="s">
        <v>1781</v>
      </c>
      <c r="C104" s="5">
        <v>24131</v>
      </c>
    </row>
    <row r="105" spans="1:3" x14ac:dyDescent="0.25">
      <c r="A105" t="s">
        <v>1782</v>
      </c>
      <c r="B105" t="s">
        <v>1783</v>
      </c>
      <c r="C105" t="s">
        <v>1784</v>
      </c>
    </row>
    <row r="106" spans="1:3" x14ac:dyDescent="0.25">
      <c r="A106" t="s">
        <v>205</v>
      </c>
      <c r="B106" t="s">
        <v>1785</v>
      </c>
      <c r="C106">
        <v>1368</v>
      </c>
    </row>
    <row r="107" spans="1:3" x14ac:dyDescent="0.25">
      <c r="A107" t="s">
        <v>17</v>
      </c>
      <c r="B107" t="s">
        <v>1786</v>
      </c>
      <c r="C107" s="5">
        <v>4781</v>
      </c>
    </row>
    <row r="108" spans="1:3" x14ac:dyDescent="0.25">
      <c r="A108" t="s">
        <v>25</v>
      </c>
      <c r="B108" t="s">
        <v>1787</v>
      </c>
      <c r="C108">
        <v>100</v>
      </c>
    </row>
    <row r="109" spans="1:3" x14ac:dyDescent="0.25">
      <c r="A109" t="s">
        <v>1788</v>
      </c>
      <c r="B109" t="s">
        <v>1789</v>
      </c>
      <c r="C109" t="s">
        <v>1790</v>
      </c>
    </row>
    <row r="110" spans="1:3" x14ac:dyDescent="0.25">
      <c r="A110" t="s">
        <v>1791</v>
      </c>
      <c r="B110" t="s">
        <v>1792</v>
      </c>
      <c r="C110" s="5">
        <v>12543</v>
      </c>
    </row>
    <row r="111" spans="1:3" x14ac:dyDescent="0.25">
      <c r="A111" t="s">
        <v>1793</v>
      </c>
      <c r="B111" t="s">
        <v>1794</v>
      </c>
      <c r="C111">
        <v>21005</v>
      </c>
    </row>
    <row r="112" spans="1:3" x14ac:dyDescent="0.25">
      <c r="A112" t="s">
        <v>64</v>
      </c>
      <c r="B112" t="s">
        <v>1795</v>
      </c>
      <c r="C112" t="s">
        <v>1796</v>
      </c>
    </row>
    <row r="113" spans="1:3" x14ac:dyDescent="0.25">
      <c r="A113" t="s">
        <v>178</v>
      </c>
      <c r="B113" t="s">
        <v>1797</v>
      </c>
      <c r="C113" s="5">
        <v>142845</v>
      </c>
    </row>
    <row r="114" spans="1:3" x14ac:dyDescent="0.25">
      <c r="A114" t="s">
        <v>153</v>
      </c>
      <c r="B114" t="s">
        <v>1798</v>
      </c>
      <c r="C114">
        <v>22683</v>
      </c>
    </row>
    <row r="115" spans="1:3" x14ac:dyDescent="0.25">
      <c r="A115" t="s">
        <v>175</v>
      </c>
      <c r="B115" t="s">
        <v>1799</v>
      </c>
      <c r="C115" s="5">
        <v>13587</v>
      </c>
    </row>
    <row r="116" spans="1:3" x14ac:dyDescent="0.25">
      <c r="A116" t="s">
        <v>33</v>
      </c>
      <c r="B116" t="s">
        <v>1800</v>
      </c>
      <c r="C116">
        <v>13000</v>
      </c>
    </row>
    <row r="117" spans="1:3" x14ac:dyDescent="0.25">
      <c r="A117" t="s">
        <v>107</v>
      </c>
      <c r="B117" t="s">
        <v>1801</v>
      </c>
      <c r="C117">
        <v>568</v>
      </c>
    </row>
    <row r="118" spans="1:3" x14ac:dyDescent="0.25">
      <c r="A118" t="s">
        <v>174</v>
      </c>
      <c r="B118" t="s">
        <v>1802</v>
      </c>
      <c r="C118" t="s">
        <v>1803</v>
      </c>
    </row>
    <row r="119" spans="1:3" x14ac:dyDescent="0.25">
      <c r="A119" t="s">
        <v>1804</v>
      </c>
      <c r="B119" t="s">
        <v>1805</v>
      </c>
      <c r="C119" s="5">
        <v>186505</v>
      </c>
    </row>
    <row r="120" spans="1:3" x14ac:dyDescent="0.25">
      <c r="A120" t="s">
        <v>46</v>
      </c>
      <c r="B120" t="s">
        <v>1806</v>
      </c>
      <c r="C120" s="5">
        <v>11072</v>
      </c>
    </row>
    <row r="121" spans="1:3" x14ac:dyDescent="0.25">
      <c r="A121" t="s">
        <v>35</v>
      </c>
      <c r="B121" t="s">
        <v>1807</v>
      </c>
      <c r="C121" t="s">
        <v>1808</v>
      </c>
    </row>
    <row r="122" spans="1:3" x14ac:dyDescent="0.25">
      <c r="A122" t="s">
        <v>43</v>
      </c>
      <c r="B122" t="s">
        <v>1809</v>
      </c>
      <c r="C122" s="5">
        <v>34752</v>
      </c>
    </row>
    <row r="123" spans="1:3" x14ac:dyDescent="0.25">
      <c r="A123" t="s">
        <v>1810</v>
      </c>
      <c r="B123" t="s">
        <v>1811</v>
      </c>
      <c r="C123" s="5">
        <v>186529</v>
      </c>
    </row>
    <row r="124" spans="1:3" x14ac:dyDescent="0.25">
      <c r="A124" t="s">
        <v>78</v>
      </c>
      <c r="B124" t="s">
        <v>1812</v>
      </c>
      <c r="C124" t="s">
        <v>1813</v>
      </c>
    </row>
    <row r="125" spans="1:3" x14ac:dyDescent="0.25">
      <c r="A125" t="s">
        <v>1814</v>
      </c>
      <c r="B125" t="s">
        <v>1815</v>
      </c>
      <c r="C125" t="s">
        <v>1816</v>
      </c>
    </row>
    <row r="126" spans="1:3" x14ac:dyDescent="0.25">
      <c r="A126" t="s">
        <v>191</v>
      </c>
      <c r="B126" t="s">
        <v>1817</v>
      </c>
      <c r="C126">
        <v>2390</v>
      </c>
    </row>
    <row r="127" spans="1:3" x14ac:dyDescent="0.25">
      <c r="A127" t="s">
        <v>216</v>
      </c>
      <c r="B127" t="s">
        <v>1818</v>
      </c>
      <c r="C127" t="s">
        <v>1819</v>
      </c>
    </row>
    <row r="128" spans="1:3" x14ac:dyDescent="0.25">
      <c r="A128" t="s">
        <v>99</v>
      </c>
      <c r="B128" t="s">
        <v>1820</v>
      </c>
      <c r="C128" t="s">
        <v>1821</v>
      </c>
    </row>
    <row r="129" spans="1:3" x14ac:dyDescent="0.25">
      <c r="A129" t="s">
        <v>1822</v>
      </c>
      <c r="B129" t="s">
        <v>1823</v>
      </c>
      <c r="C129" s="5">
        <v>67661</v>
      </c>
    </row>
    <row r="130" spans="1:3" x14ac:dyDescent="0.25">
      <c r="A130" t="s">
        <v>1824</v>
      </c>
      <c r="B130" t="s">
        <v>1825</v>
      </c>
      <c r="C130" s="5">
        <v>31812</v>
      </c>
    </row>
    <row r="131" spans="1:3" x14ac:dyDescent="0.25">
      <c r="A131" t="s">
        <v>129</v>
      </c>
      <c r="B131" t="s">
        <v>1826</v>
      </c>
      <c r="C131" s="5">
        <v>351958</v>
      </c>
    </row>
    <row r="132" spans="1:3" x14ac:dyDescent="0.25">
      <c r="A132" t="s">
        <v>51</v>
      </c>
      <c r="B132" t="s">
        <v>1827</v>
      </c>
      <c r="C132" s="5">
        <v>418616</v>
      </c>
    </row>
    <row r="133" spans="1:3" x14ac:dyDescent="0.25">
      <c r="A133" t="s">
        <v>202</v>
      </c>
      <c r="B133" t="s">
        <v>1828</v>
      </c>
      <c r="C133" t="s">
        <v>1829</v>
      </c>
    </row>
    <row r="134" spans="1:3" x14ac:dyDescent="0.25">
      <c r="A134" t="s">
        <v>50</v>
      </c>
      <c r="B134" t="s">
        <v>1830</v>
      </c>
      <c r="C134" t="s">
        <v>1831</v>
      </c>
    </row>
    <row r="135" spans="1:3" x14ac:dyDescent="0.25">
      <c r="A135" t="s">
        <v>1832</v>
      </c>
      <c r="B135" t="s">
        <v>1833</v>
      </c>
      <c r="C135" t="s">
        <v>1834</v>
      </c>
    </row>
    <row r="136" spans="1:3" x14ac:dyDescent="0.25">
      <c r="A136" t="s">
        <v>109</v>
      </c>
      <c r="B136" t="s">
        <v>1835</v>
      </c>
      <c r="C136">
        <v>116</v>
      </c>
    </row>
    <row r="137" spans="1:3" x14ac:dyDescent="0.25">
      <c r="A137" t="s">
        <v>45</v>
      </c>
      <c r="B137" t="s">
        <v>1836</v>
      </c>
      <c r="C137" s="5">
        <v>2482099219</v>
      </c>
    </row>
    <row r="138" spans="1:3" x14ac:dyDescent="0.25">
      <c r="A138" t="s">
        <v>215</v>
      </c>
      <c r="B138" t="s">
        <v>1837</v>
      </c>
      <c r="C138">
        <v>25425</v>
      </c>
    </row>
    <row r="139" spans="1:3" x14ac:dyDescent="0.25">
      <c r="A139" t="s">
        <v>11</v>
      </c>
      <c r="B139" t="s">
        <v>1838</v>
      </c>
      <c r="C139" t="s">
        <v>1839</v>
      </c>
    </row>
    <row r="140" spans="1:3" x14ac:dyDescent="0.25">
      <c r="A140" t="s">
        <v>135</v>
      </c>
      <c r="B140" t="s">
        <v>1840</v>
      </c>
      <c r="C140" t="s">
        <v>1841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473C-290B-472C-873C-C34E31BEC34B}">
  <dimension ref="A1:F197"/>
  <sheetViews>
    <sheetView workbookViewId="0">
      <selection activeCell="A3" sqref="A3:A197"/>
    </sheetView>
  </sheetViews>
  <sheetFormatPr baseColWidth="10" defaultRowHeight="15" x14ac:dyDescent="0.25"/>
  <cols>
    <col min="1" max="3" width="27.28515625" customWidth="1"/>
  </cols>
  <sheetData>
    <row r="1" spans="1:6" x14ac:dyDescent="0.25">
      <c r="A1" s="6" t="s">
        <v>0</v>
      </c>
      <c r="B1" s="6" t="s">
        <v>1600</v>
      </c>
      <c r="C1" s="6" t="s">
        <v>1601</v>
      </c>
    </row>
    <row r="2" spans="1:6" x14ac:dyDescent="0.25">
      <c r="A2" s="7" t="s">
        <v>105</v>
      </c>
      <c r="B2" s="7">
        <v>858</v>
      </c>
      <c r="C2" s="7">
        <v>40</v>
      </c>
    </row>
    <row r="3" spans="1:6" x14ac:dyDescent="0.25">
      <c r="A3" s="8" t="s">
        <v>133</v>
      </c>
      <c r="B3" s="8">
        <v>4.6369999999999996</v>
      </c>
      <c r="C3" s="8">
        <v>40</v>
      </c>
      <c r="F3" t="str">
        <f>(TRIM(SUBSTITUTE(A3,CHAR(160),"")))</f>
        <v>Albania</v>
      </c>
    </row>
    <row r="4" spans="1:6" x14ac:dyDescent="0.25">
      <c r="A4" s="7" t="s">
        <v>138</v>
      </c>
      <c r="B4" s="7">
        <v>2.1320000000000001</v>
      </c>
      <c r="C4" s="7">
        <v>40</v>
      </c>
      <c r="F4" t="str">
        <f t="shared" ref="F4:F67" si="0">(TRIM(SUBSTITUTE(A4,CHAR(160),"")))</f>
        <v>Argelia</v>
      </c>
    </row>
    <row r="5" spans="1:6" x14ac:dyDescent="0.25">
      <c r="A5" s="8" t="s">
        <v>139</v>
      </c>
      <c r="B5" s="8">
        <v>18.253</v>
      </c>
      <c r="C5" s="8">
        <v>40</v>
      </c>
      <c r="F5" t="str">
        <f t="shared" si="0"/>
        <v>Andorra</v>
      </c>
    </row>
    <row r="6" spans="1:6" x14ac:dyDescent="0.25">
      <c r="A6" s="7" t="s">
        <v>116</v>
      </c>
      <c r="B6" s="7">
        <v>663</v>
      </c>
      <c r="C6" s="7">
        <v>44</v>
      </c>
      <c r="F6" t="str">
        <f t="shared" si="0"/>
        <v>Angola</v>
      </c>
    </row>
    <row r="7" spans="1:6" x14ac:dyDescent="0.25">
      <c r="A7" s="8" t="s">
        <v>108</v>
      </c>
      <c r="B7" s="8">
        <v>6.3170000000000002</v>
      </c>
      <c r="C7" s="8">
        <v>40</v>
      </c>
      <c r="F7" t="str">
        <f t="shared" si="0"/>
        <v>Antigua y Barbuda</v>
      </c>
    </row>
    <row r="8" spans="1:6" x14ac:dyDescent="0.25">
      <c r="A8" s="7" t="s">
        <v>207</v>
      </c>
      <c r="B8" s="7">
        <v>1.7869999999999999</v>
      </c>
      <c r="C8" s="7">
        <v>40</v>
      </c>
      <c r="F8" t="str">
        <f t="shared" si="0"/>
        <v>Armenia</v>
      </c>
    </row>
    <row r="9" spans="1:6" x14ac:dyDescent="0.25">
      <c r="A9" s="8" t="s">
        <v>56</v>
      </c>
      <c r="B9" s="8">
        <v>35.81</v>
      </c>
      <c r="C9" s="8">
        <v>38</v>
      </c>
      <c r="F9" t="str">
        <f t="shared" si="0"/>
        <v>Australia</v>
      </c>
    </row>
    <row r="10" spans="1:6" x14ac:dyDescent="0.25">
      <c r="A10" s="7" t="s">
        <v>15</v>
      </c>
      <c r="B10" s="7"/>
      <c r="C10" s="7">
        <v>40</v>
      </c>
      <c r="F10" t="str">
        <f t="shared" si="0"/>
        <v>Austria</v>
      </c>
    </row>
    <row r="11" spans="1:6" x14ac:dyDescent="0.25">
      <c r="A11" s="8" t="s">
        <v>40</v>
      </c>
      <c r="B11" s="8">
        <v>2.4350000000000001</v>
      </c>
      <c r="C11" s="8">
        <v>40</v>
      </c>
      <c r="F11" t="str">
        <f t="shared" si="0"/>
        <v>Azerbaiyán</v>
      </c>
    </row>
    <row r="12" spans="1:6" x14ac:dyDescent="0.25">
      <c r="A12" s="7" t="s">
        <v>1038</v>
      </c>
      <c r="B12" s="7">
        <v>10.92</v>
      </c>
      <c r="C12" s="7">
        <v>40</v>
      </c>
      <c r="F12" t="str">
        <f t="shared" si="0"/>
        <v>Las Bahamas</v>
      </c>
    </row>
    <row r="13" spans="1:6" x14ac:dyDescent="0.25">
      <c r="A13" s="8" t="s">
        <v>993</v>
      </c>
      <c r="B13" s="8"/>
      <c r="C13" s="8">
        <v>48</v>
      </c>
      <c r="F13" t="str">
        <f t="shared" si="0"/>
        <v>Bahrein</v>
      </c>
    </row>
    <row r="14" spans="1:6" x14ac:dyDescent="0.25">
      <c r="A14" s="7" t="s">
        <v>123</v>
      </c>
      <c r="B14" s="7">
        <v>212</v>
      </c>
      <c r="C14" s="7">
        <v>48</v>
      </c>
      <c r="F14" t="str">
        <f t="shared" si="0"/>
        <v>Bangladesh</v>
      </c>
    </row>
    <row r="15" spans="1:6" x14ac:dyDescent="0.25">
      <c r="A15" s="8" t="s">
        <v>92</v>
      </c>
      <c r="B15" s="8">
        <v>10.92</v>
      </c>
      <c r="C15" s="8">
        <v>40</v>
      </c>
      <c r="F15" t="str">
        <f t="shared" si="0"/>
        <v>Barbados</v>
      </c>
    </row>
    <row r="16" spans="1:6" x14ac:dyDescent="0.25">
      <c r="A16" s="7" t="s">
        <v>34</v>
      </c>
      <c r="B16" s="7">
        <v>0</v>
      </c>
      <c r="C16" s="7">
        <v>40</v>
      </c>
      <c r="F16" t="str">
        <f t="shared" si="0"/>
        <v>Bielorrusia</v>
      </c>
    </row>
    <row r="17" spans="1:6" x14ac:dyDescent="0.25">
      <c r="A17" s="8" t="s">
        <v>24</v>
      </c>
      <c r="B17" s="8">
        <v>28.809000000000001</v>
      </c>
      <c r="C17" s="8">
        <v>38</v>
      </c>
      <c r="F17" t="str">
        <f t="shared" si="0"/>
        <v>Bélgica</v>
      </c>
    </row>
    <row r="18" spans="1:6" x14ac:dyDescent="0.25">
      <c r="A18" s="7" t="s">
        <v>93</v>
      </c>
      <c r="B18" s="7">
        <v>5.85</v>
      </c>
      <c r="C18" s="7">
        <v>45</v>
      </c>
      <c r="F18" t="str">
        <f t="shared" si="0"/>
        <v>Belice</v>
      </c>
    </row>
    <row r="19" spans="1:6" x14ac:dyDescent="0.25">
      <c r="A19" s="8" t="s">
        <v>995</v>
      </c>
      <c r="B19" s="8">
        <v>865</v>
      </c>
      <c r="C19" s="8">
        <v>40</v>
      </c>
      <c r="F19" t="str">
        <f t="shared" si="0"/>
        <v>Benin</v>
      </c>
    </row>
    <row r="20" spans="1:6" x14ac:dyDescent="0.25">
      <c r="A20" s="7" t="s">
        <v>206</v>
      </c>
      <c r="B20" s="7">
        <v>609</v>
      </c>
      <c r="C20" s="7">
        <v>40</v>
      </c>
      <c r="F20" t="str">
        <f t="shared" si="0"/>
        <v>Bután</v>
      </c>
    </row>
    <row r="21" spans="1:6" x14ac:dyDescent="0.25">
      <c r="A21" s="8" t="s">
        <v>32</v>
      </c>
      <c r="B21" s="8">
        <v>4.7030000000000003</v>
      </c>
      <c r="C21" s="8">
        <v>48</v>
      </c>
      <c r="F21" t="str">
        <f t="shared" si="0"/>
        <v>Bolivia</v>
      </c>
    </row>
    <row r="22" spans="1:6" x14ac:dyDescent="0.25">
      <c r="A22" s="7" t="s">
        <v>63</v>
      </c>
      <c r="B22" s="7">
        <v>3.9489999999999998</v>
      </c>
      <c r="C22" s="7">
        <v>40</v>
      </c>
      <c r="F22" t="str">
        <f t="shared" si="0"/>
        <v>Bosnia y Herzegovina</v>
      </c>
    </row>
    <row r="23" spans="1:6" x14ac:dyDescent="0.25">
      <c r="A23" s="8" t="s">
        <v>22</v>
      </c>
      <c r="B23" s="8">
        <v>1.9330000000000001</v>
      </c>
      <c r="C23" s="8">
        <v>48</v>
      </c>
      <c r="F23" t="str">
        <f t="shared" si="0"/>
        <v>Botsuana</v>
      </c>
    </row>
    <row r="24" spans="1:6" x14ac:dyDescent="0.25">
      <c r="A24" s="7" t="s">
        <v>74</v>
      </c>
      <c r="B24" s="7">
        <v>3.91</v>
      </c>
      <c r="C24" s="7">
        <v>44</v>
      </c>
      <c r="F24" t="str">
        <f t="shared" si="0"/>
        <v>Brasil</v>
      </c>
    </row>
    <row r="25" spans="1:6" x14ac:dyDescent="0.25">
      <c r="A25" s="8" t="s">
        <v>1002</v>
      </c>
      <c r="B25" s="8"/>
      <c r="C25" s="8"/>
      <c r="F25" t="str">
        <f t="shared" si="0"/>
        <v>Brunei</v>
      </c>
    </row>
    <row r="26" spans="1:6" x14ac:dyDescent="0.25">
      <c r="A26" s="7" t="s">
        <v>113</v>
      </c>
      <c r="B26" s="7">
        <v>8.1809999999999992</v>
      </c>
      <c r="C26" s="7">
        <v>40</v>
      </c>
      <c r="F26" t="str">
        <f t="shared" si="0"/>
        <v>Bulgaria</v>
      </c>
    </row>
    <row r="27" spans="1:6" x14ac:dyDescent="0.25">
      <c r="A27" s="8" t="s">
        <v>172</v>
      </c>
      <c r="B27" s="8">
        <v>750</v>
      </c>
      <c r="C27" s="8">
        <v>40</v>
      </c>
      <c r="F27" t="str">
        <f t="shared" si="0"/>
        <v>Burkina Faso</v>
      </c>
    </row>
    <row r="28" spans="1:6" x14ac:dyDescent="0.25">
      <c r="A28" s="7" t="s">
        <v>140</v>
      </c>
      <c r="B28" s="7"/>
      <c r="C28" s="7">
        <v>40</v>
      </c>
      <c r="F28" t="str">
        <f t="shared" si="0"/>
        <v>Burundi</v>
      </c>
    </row>
    <row r="29" spans="1:6" x14ac:dyDescent="0.25">
      <c r="A29" s="8" t="s">
        <v>173</v>
      </c>
      <c r="B29" s="8"/>
      <c r="C29" s="8">
        <v>48</v>
      </c>
      <c r="F29" t="str">
        <f t="shared" si="0"/>
        <v>Camboya</v>
      </c>
    </row>
    <row r="30" spans="1:6" x14ac:dyDescent="0.25">
      <c r="A30" s="7" t="s">
        <v>111</v>
      </c>
      <c r="B30" s="7">
        <v>785</v>
      </c>
      <c r="C30" s="7">
        <v>40</v>
      </c>
      <c r="F30" t="str">
        <f t="shared" si="0"/>
        <v>Camerún</v>
      </c>
    </row>
    <row r="31" spans="1:6" x14ac:dyDescent="0.25">
      <c r="A31" s="8" t="s">
        <v>48</v>
      </c>
      <c r="B31" s="8">
        <v>24.128</v>
      </c>
      <c r="C31" s="8">
        <v>40</v>
      </c>
      <c r="F31" t="str">
        <f t="shared" si="0"/>
        <v>Canadá</v>
      </c>
    </row>
    <row r="32" spans="1:6" x14ac:dyDescent="0.25">
      <c r="A32" s="7" t="s">
        <v>184</v>
      </c>
      <c r="B32" s="7">
        <v>1.673</v>
      </c>
      <c r="C32" s="7">
        <v>44</v>
      </c>
      <c r="F32" t="str">
        <f t="shared" si="0"/>
        <v>Cabo Verde</v>
      </c>
    </row>
    <row r="33" spans="1:6" x14ac:dyDescent="0.25">
      <c r="A33" s="8" t="s">
        <v>164</v>
      </c>
      <c r="B33" s="8">
        <v>821</v>
      </c>
      <c r="C33" s="8">
        <v>40</v>
      </c>
      <c r="F33" t="str">
        <f t="shared" si="0"/>
        <v>República Centroafricana</v>
      </c>
    </row>
    <row r="34" spans="1:6" x14ac:dyDescent="0.25">
      <c r="A34" s="7" t="s">
        <v>186</v>
      </c>
      <c r="B34" s="7">
        <v>1.298</v>
      </c>
      <c r="C34" s="7">
        <v>39</v>
      </c>
      <c r="F34" t="str">
        <f t="shared" si="0"/>
        <v>Chad</v>
      </c>
    </row>
    <row r="35" spans="1:6" x14ac:dyDescent="0.25">
      <c r="A35" s="8" t="s">
        <v>75</v>
      </c>
      <c r="B35" s="8">
        <v>8.3640000000000008</v>
      </c>
      <c r="C35" s="8">
        <v>44</v>
      </c>
      <c r="F35" t="str">
        <f t="shared" si="0"/>
        <v>Chile</v>
      </c>
    </row>
    <row r="36" spans="1:6" x14ac:dyDescent="0.25">
      <c r="A36" s="7" t="s">
        <v>170</v>
      </c>
      <c r="B36" s="7">
        <v>3.0139999999999998</v>
      </c>
      <c r="C36" s="7">
        <v>40</v>
      </c>
      <c r="F36" t="str">
        <f t="shared" si="0"/>
        <v>China</v>
      </c>
    </row>
    <row r="37" spans="1:6" x14ac:dyDescent="0.25">
      <c r="A37" s="8" t="s">
        <v>87</v>
      </c>
      <c r="B37" s="8">
        <v>5.6379999999999999</v>
      </c>
      <c r="C37" s="8">
        <v>48</v>
      </c>
      <c r="F37" t="str">
        <f t="shared" si="0"/>
        <v>Colombia</v>
      </c>
    </row>
    <row r="38" spans="1:6" x14ac:dyDescent="0.25">
      <c r="A38" s="7" t="s">
        <v>137</v>
      </c>
      <c r="B38" s="7">
        <v>1.587</v>
      </c>
      <c r="C38" s="7">
        <v>40</v>
      </c>
      <c r="F38" t="str">
        <f t="shared" si="0"/>
        <v>Comoras</v>
      </c>
    </row>
    <row r="39" spans="1:6" x14ac:dyDescent="0.25">
      <c r="A39" s="8" t="s">
        <v>1062</v>
      </c>
      <c r="B39" s="8">
        <v>220</v>
      </c>
      <c r="C39" s="8">
        <v>45</v>
      </c>
      <c r="F39" t="str">
        <f t="shared" si="0"/>
        <v>República Democrática del Congo</v>
      </c>
    </row>
    <row r="40" spans="1:6" x14ac:dyDescent="0.25">
      <c r="A40" s="7" t="s">
        <v>1061</v>
      </c>
      <c r="B40" s="7">
        <v>1.948</v>
      </c>
      <c r="C40" s="7">
        <v>40</v>
      </c>
      <c r="F40" t="str">
        <f t="shared" si="0"/>
        <v>República del Congo</v>
      </c>
    </row>
    <row r="41" spans="1:6" x14ac:dyDescent="0.25">
      <c r="A41" s="8" t="s">
        <v>160</v>
      </c>
      <c r="B41" s="8">
        <v>6.9320000000000004</v>
      </c>
      <c r="C41" s="8">
        <v>48</v>
      </c>
      <c r="F41" t="str">
        <f t="shared" si="0"/>
        <v>Costa Rica</v>
      </c>
    </row>
    <row r="42" spans="1:6" x14ac:dyDescent="0.25">
      <c r="A42" s="7" t="s">
        <v>200</v>
      </c>
      <c r="B42" s="7">
        <v>792</v>
      </c>
      <c r="C42" s="7">
        <v>40</v>
      </c>
      <c r="F42" t="str">
        <f t="shared" si="0"/>
        <v>Costa de Marfil</v>
      </c>
    </row>
    <row r="43" spans="1:6" x14ac:dyDescent="0.25">
      <c r="A43" s="8" t="s">
        <v>117</v>
      </c>
      <c r="B43" s="8">
        <v>1.585</v>
      </c>
      <c r="C43" s="8">
        <v>40</v>
      </c>
      <c r="F43" t="str">
        <f t="shared" si="0"/>
        <v>Croacia</v>
      </c>
    </row>
    <row r="44" spans="1:6" x14ac:dyDescent="0.25">
      <c r="A44" s="7" t="s">
        <v>54</v>
      </c>
      <c r="B44" s="7">
        <v>44</v>
      </c>
      <c r="C44" s="7">
        <v>48</v>
      </c>
      <c r="F44" t="str">
        <f t="shared" si="0"/>
        <v>Cuba</v>
      </c>
    </row>
    <row r="45" spans="1:6" x14ac:dyDescent="0.25">
      <c r="A45" s="8" t="s">
        <v>136</v>
      </c>
      <c r="B45" s="8"/>
      <c r="C45" s="8">
        <v>48</v>
      </c>
      <c r="F45" t="str">
        <f t="shared" si="0"/>
        <v>Chipre</v>
      </c>
    </row>
    <row r="46" spans="1:6" x14ac:dyDescent="0.25">
      <c r="A46" s="7" t="s">
        <v>1780</v>
      </c>
      <c r="B46" s="7">
        <v>9.9589999999999996</v>
      </c>
      <c r="C46" s="7">
        <v>40</v>
      </c>
      <c r="F46" t="str">
        <f t="shared" si="0"/>
        <v>República Checa</v>
      </c>
    </row>
    <row r="47" spans="1:6" x14ac:dyDescent="0.25">
      <c r="A47" s="8" t="s">
        <v>102</v>
      </c>
      <c r="B47" s="8"/>
      <c r="C47" s="8">
        <v>37.5</v>
      </c>
      <c r="F47" t="str">
        <f t="shared" si="0"/>
        <v>Dinamarca</v>
      </c>
    </row>
    <row r="48" spans="1:6" x14ac:dyDescent="0.25">
      <c r="A48" s="7" t="s">
        <v>196</v>
      </c>
      <c r="B48" s="7"/>
      <c r="C48" s="7">
        <v>48</v>
      </c>
      <c r="F48" t="str">
        <f t="shared" si="0"/>
        <v>Yibuti</v>
      </c>
    </row>
    <row r="49" spans="1:6" x14ac:dyDescent="0.25">
      <c r="A49" s="8" t="s">
        <v>159</v>
      </c>
      <c r="B49" s="8">
        <v>3.081</v>
      </c>
      <c r="C49" s="8">
        <v>40</v>
      </c>
      <c r="F49" t="str">
        <f t="shared" si="0"/>
        <v>Dominica</v>
      </c>
    </row>
    <row r="50" spans="1:6" x14ac:dyDescent="0.25">
      <c r="A50" s="7" t="s">
        <v>70</v>
      </c>
      <c r="B50" s="7">
        <v>2.613</v>
      </c>
      <c r="C50" s="7">
        <v>44</v>
      </c>
      <c r="F50" t="str">
        <f t="shared" si="0"/>
        <v>República Dominicana</v>
      </c>
    </row>
    <row r="51" spans="1:6" x14ac:dyDescent="0.25">
      <c r="A51" s="8" t="s">
        <v>134</v>
      </c>
      <c r="B51" s="8">
        <v>7.1239999999999997</v>
      </c>
      <c r="C51" s="8">
        <v>40</v>
      </c>
      <c r="F51" t="str">
        <f t="shared" si="0"/>
        <v>Ecuador</v>
      </c>
    </row>
    <row r="52" spans="1:6" x14ac:dyDescent="0.25">
      <c r="A52" s="7" t="s">
        <v>154</v>
      </c>
      <c r="B52" s="7"/>
      <c r="C52" s="7">
        <v>42</v>
      </c>
      <c r="F52" t="str">
        <f t="shared" si="0"/>
        <v>Egipto</v>
      </c>
    </row>
    <row r="53" spans="1:6" x14ac:dyDescent="0.25">
      <c r="A53" s="8" t="s">
        <v>131</v>
      </c>
      <c r="B53" s="8">
        <v>3.65</v>
      </c>
      <c r="C53" s="8">
        <v>44</v>
      </c>
      <c r="F53" t="str">
        <f t="shared" si="0"/>
        <v>El Salvador</v>
      </c>
    </row>
    <row r="54" spans="1:6" x14ac:dyDescent="0.25">
      <c r="A54" s="7" t="s">
        <v>198</v>
      </c>
      <c r="B54" s="7">
        <v>2.7919999999999998</v>
      </c>
      <c r="C54" s="7">
        <v>48</v>
      </c>
      <c r="F54" t="str">
        <f t="shared" si="0"/>
        <v>Guinea Ecuatorial</v>
      </c>
    </row>
    <row r="55" spans="1:6" x14ac:dyDescent="0.25">
      <c r="A55" s="8" t="s">
        <v>98</v>
      </c>
      <c r="B55" s="8"/>
      <c r="C55" s="8">
        <v>44.5</v>
      </c>
      <c r="F55" t="str">
        <f t="shared" si="0"/>
        <v>Eritrea</v>
      </c>
    </row>
    <row r="56" spans="1:6" x14ac:dyDescent="0.25">
      <c r="A56" s="7" t="s">
        <v>13</v>
      </c>
      <c r="B56" s="7">
        <v>10.577999999999999</v>
      </c>
      <c r="C56" s="7">
        <v>40</v>
      </c>
      <c r="F56" t="str">
        <f t="shared" si="0"/>
        <v>Estonia</v>
      </c>
    </row>
    <row r="57" spans="1:6" x14ac:dyDescent="0.25">
      <c r="A57" s="8" t="s">
        <v>1016</v>
      </c>
      <c r="B57" s="8">
        <v>694</v>
      </c>
      <c r="C57" s="8">
        <v>48</v>
      </c>
      <c r="F57" t="str">
        <f t="shared" si="0"/>
        <v>Eswatini</v>
      </c>
    </row>
    <row r="58" spans="1:6" x14ac:dyDescent="0.25">
      <c r="A58" s="7" t="s">
        <v>218</v>
      </c>
      <c r="B58" s="7"/>
      <c r="C58" s="7">
        <v>48</v>
      </c>
      <c r="F58" t="str">
        <f t="shared" si="0"/>
        <v>Etiopía</v>
      </c>
    </row>
    <row r="59" spans="1:6" x14ac:dyDescent="0.25">
      <c r="A59" s="8" t="s">
        <v>1847</v>
      </c>
      <c r="B59" s="8"/>
      <c r="C59" s="8">
        <v>40</v>
      </c>
      <c r="F59" t="str">
        <f t="shared" si="0"/>
        <v>Estados Federados de Micronesia</v>
      </c>
    </row>
    <row r="60" spans="1:6" x14ac:dyDescent="0.25">
      <c r="A60" s="7" t="s">
        <v>118</v>
      </c>
      <c r="B60" s="7">
        <v>4.8230000000000004</v>
      </c>
      <c r="C60" s="7">
        <v>48</v>
      </c>
      <c r="F60" t="str">
        <f t="shared" si="0"/>
        <v>Fiyi</v>
      </c>
    </row>
    <row r="61" spans="1:6" x14ac:dyDescent="0.25">
      <c r="A61" s="8" t="s">
        <v>3</v>
      </c>
      <c r="B61" s="8"/>
      <c r="C61" s="8">
        <v>40</v>
      </c>
      <c r="F61" t="str">
        <f t="shared" si="0"/>
        <v>Finlandia</v>
      </c>
    </row>
    <row r="62" spans="1:6" x14ac:dyDescent="0.25">
      <c r="A62" s="7" t="s">
        <v>23</v>
      </c>
      <c r="B62" s="7">
        <v>25.571999999999999</v>
      </c>
      <c r="C62" s="7">
        <v>35</v>
      </c>
      <c r="F62" t="str">
        <f t="shared" si="0"/>
        <v>Francia</v>
      </c>
    </row>
    <row r="63" spans="1:6" x14ac:dyDescent="0.25">
      <c r="A63" s="8" t="s">
        <v>84</v>
      </c>
      <c r="B63" s="8">
        <v>3.246</v>
      </c>
      <c r="C63" s="8">
        <v>40</v>
      </c>
      <c r="F63" t="str">
        <f t="shared" si="0"/>
        <v>Gabón</v>
      </c>
    </row>
    <row r="64" spans="1:6" x14ac:dyDescent="0.25">
      <c r="A64" s="7" t="s">
        <v>194</v>
      </c>
      <c r="B64" s="7">
        <v>253</v>
      </c>
      <c r="C64" s="7">
        <v>48</v>
      </c>
      <c r="F64" t="str">
        <f t="shared" si="0"/>
        <v>Gambia</v>
      </c>
    </row>
    <row r="65" spans="1:6" x14ac:dyDescent="0.25">
      <c r="A65" s="8" t="s">
        <v>209</v>
      </c>
      <c r="B65" s="8">
        <v>93</v>
      </c>
      <c r="C65" s="8">
        <v>40</v>
      </c>
      <c r="F65" t="str">
        <f t="shared" si="0"/>
        <v>Georgia</v>
      </c>
    </row>
    <row r="66" spans="1:6" x14ac:dyDescent="0.25">
      <c r="A66" s="7" t="s">
        <v>5</v>
      </c>
      <c r="B66" s="7">
        <v>41.033000000000001</v>
      </c>
      <c r="C66" s="7">
        <v>48</v>
      </c>
      <c r="F66" t="str">
        <f t="shared" si="0"/>
        <v>Alemania</v>
      </c>
    </row>
    <row r="67" spans="1:6" x14ac:dyDescent="0.25">
      <c r="A67" s="8" t="s">
        <v>193</v>
      </c>
      <c r="B67" s="8">
        <v>814</v>
      </c>
      <c r="C67" s="8">
        <v>40</v>
      </c>
      <c r="F67" t="str">
        <f t="shared" si="0"/>
        <v>Ghana</v>
      </c>
    </row>
    <row r="68" spans="1:6" x14ac:dyDescent="0.25">
      <c r="A68" s="7" t="s">
        <v>65</v>
      </c>
      <c r="B68" s="7">
        <v>13.738</v>
      </c>
      <c r="C68" s="7">
        <v>40</v>
      </c>
      <c r="F68" t="str">
        <f t="shared" ref="F68:F131" si="1">(TRIM(SUBSTITUTE(A68,CHAR(160),"")))</f>
        <v>Grecia</v>
      </c>
    </row>
    <row r="69" spans="1:6" x14ac:dyDescent="0.25">
      <c r="A69" s="8" t="s">
        <v>156</v>
      </c>
      <c r="B69" s="8"/>
      <c r="C69" s="8">
        <v>40</v>
      </c>
      <c r="F69" t="str">
        <f t="shared" si="1"/>
        <v>Granada</v>
      </c>
    </row>
    <row r="70" spans="1:6" x14ac:dyDescent="0.25">
      <c r="A70" s="7" t="s">
        <v>144</v>
      </c>
      <c r="B70" s="7">
        <v>3.9239999999999999</v>
      </c>
      <c r="C70" s="7">
        <v>48</v>
      </c>
      <c r="F70" t="str">
        <f t="shared" si="1"/>
        <v>Guatemala</v>
      </c>
    </row>
    <row r="71" spans="1:6" x14ac:dyDescent="0.25">
      <c r="A71" s="8" t="s">
        <v>201</v>
      </c>
      <c r="B71" s="8"/>
      <c r="C71" s="8">
        <v>48</v>
      </c>
      <c r="F71" t="str">
        <f t="shared" si="1"/>
        <v>Guinea</v>
      </c>
    </row>
    <row r="72" spans="1:6" x14ac:dyDescent="0.25">
      <c r="A72" s="7" t="s">
        <v>1025</v>
      </c>
      <c r="B72" s="7">
        <v>412</v>
      </c>
      <c r="C72" s="7">
        <v>45</v>
      </c>
      <c r="F72" t="str">
        <f t="shared" si="1"/>
        <v>Guinea-Bissau</v>
      </c>
    </row>
    <row r="73" spans="1:6" x14ac:dyDescent="0.25">
      <c r="A73" s="8" t="s">
        <v>62</v>
      </c>
      <c r="B73" s="8">
        <v>2.0150000000000001</v>
      </c>
      <c r="C73" s="8">
        <v>40</v>
      </c>
      <c r="F73" t="str">
        <f t="shared" si="1"/>
        <v>Guyana</v>
      </c>
    </row>
    <row r="74" spans="1:6" x14ac:dyDescent="0.25">
      <c r="A74" s="7" t="s">
        <v>91</v>
      </c>
      <c r="B74" s="7">
        <v>1.014</v>
      </c>
      <c r="C74" s="7">
        <v>48</v>
      </c>
      <c r="F74" t="str">
        <f t="shared" si="1"/>
        <v>Haití</v>
      </c>
    </row>
    <row r="75" spans="1:6" x14ac:dyDescent="0.25">
      <c r="A75" s="8" t="s">
        <v>132</v>
      </c>
      <c r="B75" s="8">
        <v>4.8419999999999996</v>
      </c>
      <c r="C75" s="8">
        <v>44</v>
      </c>
      <c r="F75" t="str">
        <f t="shared" si="1"/>
        <v>Honduras</v>
      </c>
    </row>
    <row r="76" spans="1:6" x14ac:dyDescent="0.25">
      <c r="A76" s="7" t="s">
        <v>124</v>
      </c>
      <c r="B76" s="7">
        <v>10.708</v>
      </c>
      <c r="C76" s="7">
        <v>40</v>
      </c>
      <c r="F76" t="str">
        <f t="shared" si="1"/>
        <v>Hong Kong</v>
      </c>
    </row>
    <row r="77" spans="1:6" x14ac:dyDescent="0.25">
      <c r="A77" s="8" t="s">
        <v>6</v>
      </c>
      <c r="B77" s="8">
        <v>9.1839999999999993</v>
      </c>
      <c r="C77" s="8">
        <v>40</v>
      </c>
      <c r="F77" t="str">
        <f t="shared" si="1"/>
        <v>Hungría</v>
      </c>
    </row>
    <row r="78" spans="1:6" x14ac:dyDescent="0.25">
      <c r="A78" s="7" t="s">
        <v>36</v>
      </c>
      <c r="B78" s="7"/>
      <c r="C78" s="7">
        <v>40</v>
      </c>
      <c r="F78" t="str">
        <f t="shared" si="1"/>
        <v>Islandia</v>
      </c>
    </row>
    <row r="79" spans="1:6" x14ac:dyDescent="0.25">
      <c r="A79" s="8" t="s">
        <v>212</v>
      </c>
      <c r="B79" s="8">
        <v>674</v>
      </c>
      <c r="C79" s="8">
        <v>48</v>
      </c>
      <c r="F79" t="str">
        <f t="shared" si="1"/>
        <v>India</v>
      </c>
    </row>
    <row r="80" spans="1:6" x14ac:dyDescent="0.25">
      <c r="A80" s="7" t="s">
        <v>180</v>
      </c>
      <c r="B80" s="7">
        <v>2.4489999999999998</v>
      </c>
      <c r="C80" s="7">
        <v>40</v>
      </c>
      <c r="F80" t="str">
        <f t="shared" si="1"/>
        <v>Indonesia</v>
      </c>
    </row>
    <row r="81" spans="1:6" x14ac:dyDescent="0.25">
      <c r="A81" s="8" t="s">
        <v>44</v>
      </c>
      <c r="B81" s="8">
        <v>1.7470000000000001</v>
      </c>
      <c r="C81" s="8">
        <v>44</v>
      </c>
      <c r="F81" t="str">
        <f t="shared" si="1"/>
        <v>Irán</v>
      </c>
    </row>
    <row r="82" spans="1:6" x14ac:dyDescent="0.25">
      <c r="A82" s="7" t="s">
        <v>1027</v>
      </c>
      <c r="B82" s="7">
        <v>2.069</v>
      </c>
      <c r="C82" s="7">
        <v>40</v>
      </c>
      <c r="F82" t="str">
        <f t="shared" si="1"/>
        <v>Iraq</v>
      </c>
    </row>
    <row r="83" spans="1:6" x14ac:dyDescent="0.25">
      <c r="A83" s="8" t="s">
        <v>58</v>
      </c>
      <c r="B83" s="8">
        <v>37.801000000000002</v>
      </c>
      <c r="C83" s="8">
        <v>39</v>
      </c>
      <c r="F83" t="str">
        <f t="shared" si="1"/>
        <v>Irlanda</v>
      </c>
    </row>
    <row r="84" spans="1:6" x14ac:dyDescent="0.25">
      <c r="A84" s="7" t="s">
        <v>103</v>
      </c>
      <c r="B84" s="7">
        <v>23.94</v>
      </c>
      <c r="C84" s="7">
        <v>42</v>
      </c>
      <c r="F84" t="str">
        <f t="shared" si="1"/>
        <v>Israel</v>
      </c>
    </row>
    <row r="85" spans="1:6" x14ac:dyDescent="0.25">
      <c r="A85" s="8" t="s">
        <v>10</v>
      </c>
      <c r="B85" s="8"/>
      <c r="C85" s="8">
        <v>40</v>
      </c>
      <c r="F85" t="str">
        <f t="shared" si="1"/>
        <v>Italia</v>
      </c>
    </row>
    <row r="86" spans="1:6" x14ac:dyDescent="0.25">
      <c r="A86" s="7" t="s">
        <v>2</v>
      </c>
      <c r="B86" s="7">
        <v>4.4610000000000003</v>
      </c>
      <c r="C86" s="7">
        <v>40</v>
      </c>
      <c r="F86" t="str">
        <f t="shared" si="1"/>
        <v>Jamaica</v>
      </c>
    </row>
    <row r="87" spans="1:6" x14ac:dyDescent="0.25">
      <c r="A87" s="8" t="s">
        <v>31</v>
      </c>
      <c r="B87" s="8">
        <v>19.388000000000002</v>
      </c>
      <c r="C87" s="8">
        <v>40</v>
      </c>
      <c r="F87" t="str">
        <f t="shared" si="1"/>
        <v>Japón</v>
      </c>
    </row>
    <row r="88" spans="1:6" x14ac:dyDescent="0.25">
      <c r="A88" s="7" t="s">
        <v>1033</v>
      </c>
      <c r="B88" s="7"/>
      <c r="C88" s="7"/>
      <c r="F88" t="str">
        <f t="shared" si="1"/>
        <v>Jersey</v>
      </c>
    </row>
    <row r="89" spans="1:6" x14ac:dyDescent="0.25">
      <c r="A89" s="8" t="s">
        <v>89</v>
      </c>
      <c r="B89" s="8">
        <v>5.4080000000000004</v>
      </c>
      <c r="C89" s="8">
        <v>48</v>
      </c>
      <c r="F89" t="str">
        <f t="shared" si="1"/>
        <v>Jordania</v>
      </c>
    </row>
    <row r="90" spans="1:6" x14ac:dyDescent="0.25">
      <c r="A90" s="7" t="s">
        <v>149</v>
      </c>
      <c r="B90" s="7">
        <v>2.0329999999999999</v>
      </c>
      <c r="C90" s="7">
        <v>40</v>
      </c>
      <c r="F90" t="str">
        <f t="shared" si="1"/>
        <v>Kiribati</v>
      </c>
    </row>
    <row r="91" spans="1:6" x14ac:dyDescent="0.25">
      <c r="A91" s="8" t="s">
        <v>110</v>
      </c>
      <c r="B91" s="8"/>
      <c r="C91" s="8"/>
      <c r="F91" t="str">
        <f t="shared" si="1"/>
        <v>Corea del Norte</v>
      </c>
    </row>
    <row r="92" spans="1:6" x14ac:dyDescent="0.25">
      <c r="A92" s="7" t="s">
        <v>26</v>
      </c>
      <c r="B92" s="7">
        <v>20.99</v>
      </c>
      <c r="C92" s="7">
        <v>40</v>
      </c>
      <c r="F92" t="str">
        <f t="shared" si="1"/>
        <v>Corea del Sur</v>
      </c>
    </row>
    <row r="93" spans="1:6" x14ac:dyDescent="0.25">
      <c r="A93" s="8" t="s">
        <v>1843</v>
      </c>
      <c r="B93" s="8">
        <v>2.4129999999999998</v>
      </c>
      <c r="C93" s="8">
        <v>40</v>
      </c>
      <c r="F93" t="str">
        <f t="shared" si="1"/>
        <v>Kosovo</v>
      </c>
    </row>
    <row r="94" spans="1:6" x14ac:dyDescent="0.25">
      <c r="A94" s="7" t="s">
        <v>122</v>
      </c>
      <c r="B94" s="7">
        <v>2.4</v>
      </c>
      <c r="C94" s="7">
        <v>48</v>
      </c>
      <c r="F94" t="str">
        <f t="shared" si="1"/>
        <v>Kuwait</v>
      </c>
    </row>
    <row r="95" spans="1:6" x14ac:dyDescent="0.25">
      <c r="A95" s="8" t="s">
        <v>57</v>
      </c>
      <c r="B95" s="8">
        <v>349</v>
      </c>
      <c r="C95" s="8">
        <v>40</v>
      </c>
      <c r="F95" t="str">
        <f t="shared" si="1"/>
        <v>Kirguistán</v>
      </c>
    </row>
    <row r="96" spans="1:6" x14ac:dyDescent="0.25">
      <c r="A96" s="7" t="s">
        <v>163</v>
      </c>
      <c r="B96" s="7">
        <v>1.732</v>
      </c>
      <c r="C96" s="7">
        <v>48</v>
      </c>
      <c r="F96" t="str">
        <f t="shared" si="1"/>
        <v>Laos</v>
      </c>
    </row>
    <row r="97" spans="1:6" x14ac:dyDescent="0.25">
      <c r="A97" s="8" t="s">
        <v>71</v>
      </c>
      <c r="B97" s="8">
        <v>10.502000000000001</v>
      </c>
      <c r="C97" s="8">
        <v>40</v>
      </c>
      <c r="F97" t="str">
        <f t="shared" si="1"/>
        <v>Letonia</v>
      </c>
    </row>
    <row r="98" spans="1:6" x14ac:dyDescent="0.25">
      <c r="A98" s="7" t="s">
        <v>142</v>
      </c>
      <c r="B98" s="7">
        <v>5.3730000000000002</v>
      </c>
      <c r="C98" s="7">
        <v>48</v>
      </c>
      <c r="F98" t="str">
        <f t="shared" si="1"/>
        <v>Líbano</v>
      </c>
    </row>
    <row r="99" spans="1:6" x14ac:dyDescent="0.25">
      <c r="A99" s="8" t="s">
        <v>1039</v>
      </c>
      <c r="B99" s="8">
        <v>956</v>
      </c>
      <c r="C99" s="8">
        <v>45</v>
      </c>
      <c r="F99" t="str">
        <f t="shared" si="1"/>
        <v>Lesotho</v>
      </c>
    </row>
    <row r="100" spans="1:6" x14ac:dyDescent="0.25">
      <c r="A100" s="7" t="s">
        <v>181</v>
      </c>
      <c r="B100" s="7">
        <v>4</v>
      </c>
      <c r="C100" s="7">
        <v>48</v>
      </c>
      <c r="F100" t="str">
        <f t="shared" si="1"/>
        <v>Liberia</v>
      </c>
    </row>
    <row r="101" spans="1:6" x14ac:dyDescent="0.25">
      <c r="A101" s="8" t="s">
        <v>59</v>
      </c>
      <c r="B101" s="8">
        <v>1.169</v>
      </c>
      <c r="C101" s="8">
        <v>40</v>
      </c>
      <c r="F101" t="str">
        <f t="shared" si="1"/>
        <v>Libia</v>
      </c>
    </row>
    <row r="102" spans="1:6" x14ac:dyDescent="0.25">
      <c r="A102" s="7" t="s">
        <v>1</v>
      </c>
      <c r="B102" s="7"/>
      <c r="C102" s="7">
        <v>48</v>
      </c>
      <c r="F102" t="str">
        <f t="shared" si="1"/>
        <v>Liechtenstein</v>
      </c>
    </row>
    <row r="103" spans="1:6" x14ac:dyDescent="0.25">
      <c r="A103" s="8" t="s">
        <v>101</v>
      </c>
      <c r="B103" s="8">
        <v>17.343</v>
      </c>
      <c r="C103" s="8">
        <v>40</v>
      </c>
      <c r="F103" t="str">
        <f t="shared" si="1"/>
        <v>Lituania</v>
      </c>
    </row>
    <row r="104" spans="1:6" x14ac:dyDescent="0.25">
      <c r="A104" s="7" t="s">
        <v>16</v>
      </c>
      <c r="B104" s="7">
        <v>32.103000000000002</v>
      </c>
      <c r="C104" s="7">
        <v>40</v>
      </c>
      <c r="F104" t="str">
        <f t="shared" si="1"/>
        <v>Luxemburgo</v>
      </c>
    </row>
    <row r="105" spans="1:6" x14ac:dyDescent="0.25">
      <c r="A105" s="8" t="s">
        <v>162</v>
      </c>
      <c r="B105" s="8">
        <v>9.9719999999999995</v>
      </c>
      <c r="C105" s="8">
        <v>40</v>
      </c>
      <c r="F105" t="str">
        <f t="shared" si="1"/>
        <v>Macao</v>
      </c>
    </row>
    <row r="106" spans="1:6" x14ac:dyDescent="0.25">
      <c r="A106" s="7" t="s">
        <v>100</v>
      </c>
      <c r="B106" s="7">
        <v>376</v>
      </c>
      <c r="C106" s="7">
        <v>41</v>
      </c>
      <c r="F106" t="str">
        <f t="shared" si="1"/>
        <v>Madagascar</v>
      </c>
    </row>
    <row r="107" spans="1:6" x14ac:dyDescent="0.25">
      <c r="A107" s="8" t="s">
        <v>1044</v>
      </c>
      <c r="B107" s="8">
        <v>266</v>
      </c>
      <c r="C107" s="8">
        <v>48</v>
      </c>
      <c r="F107" t="str">
        <f t="shared" si="1"/>
        <v>Malawi</v>
      </c>
    </row>
    <row r="108" spans="1:6" x14ac:dyDescent="0.25">
      <c r="A108" s="7" t="s">
        <v>182</v>
      </c>
      <c r="B108" s="7">
        <v>4.3479999999999999</v>
      </c>
      <c r="C108" s="7">
        <v>45</v>
      </c>
      <c r="F108" t="str">
        <f t="shared" si="1"/>
        <v>Malasia</v>
      </c>
    </row>
    <row r="109" spans="1:6" x14ac:dyDescent="0.25">
      <c r="A109" s="8" t="s">
        <v>176</v>
      </c>
      <c r="B109" s="8"/>
      <c r="C109" s="8">
        <v>48</v>
      </c>
      <c r="F109" t="str">
        <f t="shared" si="1"/>
        <v>Maldivas</v>
      </c>
    </row>
    <row r="110" spans="1:6" x14ac:dyDescent="0.25">
      <c r="A110" s="7" t="s">
        <v>1045</v>
      </c>
      <c r="B110" s="7">
        <v>616</v>
      </c>
      <c r="C110" s="7">
        <v>48</v>
      </c>
      <c r="F110" t="str">
        <f t="shared" si="1"/>
        <v>Mali</v>
      </c>
    </row>
    <row r="111" spans="1:6" x14ac:dyDescent="0.25">
      <c r="A111" s="8" t="s">
        <v>141</v>
      </c>
      <c r="B111" s="8">
        <v>11.244999999999999</v>
      </c>
      <c r="C111" s="8">
        <v>40</v>
      </c>
      <c r="F111" t="str">
        <f t="shared" si="1"/>
        <v>Malta</v>
      </c>
    </row>
    <row r="112" spans="1:6" x14ac:dyDescent="0.25">
      <c r="A112" s="7" t="s">
        <v>85</v>
      </c>
      <c r="B112" s="7">
        <v>4.16</v>
      </c>
      <c r="C112" s="7">
        <v>40</v>
      </c>
      <c r="F112" t="str">
        <f t="shared" si="1"/>
        <v>Islas Marshall</v>
      </c>
    </row>
    <row r="113" spans="1:6" x14ac:dyDescent="0.25">
      <c r="A113" s="8" t="s">
        <v>148</v>
      </c>
      <c r="B113" s="8">
        <v>1.4730000000000001</v>
      </c>
      <c r="C113" s="8">
        <v>40</v>
      </c>
      <c r="F113" t="str">
        <f t="shared" si="1"/>
        <v>Mauritania</v>
      </c>
    </row>
    <row r="114" spans="1:6" x14ac:dyDescent="0.25">
      <c r="A114" s="7" t="s">
        <v>114</v>
      </c>
      <c r="B114" s="7">
        <v>2.5379999999999998</v>
      </c>
      <c r="C114" s="7">
        <v>45</v>
      </c>
      <c r="F114" t="str">
        <f t="shared" si="1"/>
        <v>Mauricio</v>
      </c>
    </row>
    <row r="115" spans="1:6" x14ac:dyDescent="0.25">
      <c r="A115" s="8" t="s">
        <v>12</v>
      </c>
      <c r="B115" s="8">
        <v>5.0199999999999996</v>
      </c>
      <c r="C115" s="8">
        <v>48</v>
      </c>
      <c r="F115" t="str">
        <f t="shared" si="1"/>
        <v>México</v>
      </c>
    </row>
    <row r="116" spans="1:6" x14ac:dyDescent="0.25">
      <c r="A116" s="7" t="s">
        <v>79</v>
      </c>
      <c r="B116" s="7">
        <v>2.7149999999999999</v>
      </c>
      <c r="C116" s="7">
        <v>40</v>
      </c>
      <c r="F116" t="str">
        <f t="shared" si="1"/>
        <v>Moldavia</v>
      </c>
    </row>
    <row r="117" spans="1:6" x14ac:dyDescent="0.25">
      <c r="A117" s="8" t="s">
        <v>177</v>
      </c>
      <c r="B117" s="8">
        <v>24.091999999999999</v>
      </c>
      <c r="C117" s="8">
        <v>39</v>
      </c>
      <c r="F117" t="str">
        <f t="shared" si="1"/>
        <v>Mónaco</v>
      </c>
    </row>
    <row r="118" spans="1:6" x14ac:dyDescent="0.25">
      <c r="A118" s="7" t="s">
        <v>203</v>
      </c>
      <c r="B118" s="7">
        <v>3.3359999999999999</v>
      </c>
      <c r="C118" s="7">
        <v>40</v>
      </c>
      <c r="F118" t="str">
        <f t="shared" si="1"/>
        <v>Mongolia</v>
      </c>
    </row>
    <row r="119" spans="1:6" x14ac:dyDescent="0.25">
      <c r="A119" s="8" t="s">
        <v>90</v>
      </c>
      <c r="B119" s="8">
        <v>6.3869999999999996</v>
      </c>
      <c r="C119" s="8">
        <v>40</v>
      </c>
      <c r="F119" t="str">
        <f t="shared" si="1"/>
        <v>Montenegro</v>
      </c>
    </row>
    <row r="120" spans="1:6" x14ac:dyDescent="0.25">
      <c r="A120" s="7" t="s">
        <v>167</v>
      </c>
      <c r="B120" s="7">
        <v>3.9969999999999999</v>
      </c>
      <c r="C120" s="7">
        <v>44</v>
      </c>
      <c r="F120" t="str">
        <f t="shared" si="1"/>
        <v>Marruecos</v>
      </c>
    </row>
    <row r="121" spans="1:6" x14ac:dyDescent="0.25">
      <c r="A121" s="8" t="s">
        <v>9</v>
      </c>
      <c r="B121" s="8">
        <v>906</v>
      </c>
      <c r="C121" s="8">
        <v>40</v>
      </c>
      <c r="F121" t="str">
        <f t="shared" si="1"/>
        <v>Mozambique</v>
      </c>
    </row>
    <row r="122" spans="1:6" x14ac:dyDescent="0.25">
      <c r="A122" s="7" t="s">
        <v>55</v>
      </c>
      <c r="B122" s="7">
        <v>691</v>
      </c>
      <c r="C122" s="7">
        <v>44</v>
      </c>
      <c r="F122" t="str">
        <f t="shared" si="1"/>
        <v>Myanmar</v>
      </c>
    </row>
    <row r="123" spans="1:6" x14ac:dyDescent="0.25">
      <c r="A123" s="8" t="s">
        <v>80</v>
      </c>
      <c r="B123" s="8"/>
      <c r="C123" s="8">
        <v>45</v>
      </c>
      <c r="F123" t="str">
        <f t="shared" si="1"/>
        <v>Namibia</v>
      </c>
    </row>
    <row r="124" spans="1:6" x14ac:dyDescent="0.25">
      <c r="A124" s="7" t="s">
        <v>73</v>
      </c>
      <c r="B124" s="7"/>
      <c r="C124" s="7">
        <v>40</v>
      </c>
      <c r="F124" t="str">
        <f t="shared" si="1"/>
        <v>Nauru</v>
      </c>
    </row>
    <row r="125" spans="1:6" x14ac:dyDescent="0.25">
      <c r="A125" s="8" t="s">
        <v>161</v>
      </c>
      <c r="B125" s="8">
        <v>1.986</v>
      </c>
      <c r="C125" s="8">
        <v>48</v>
      </c>
      <c r="F125" t="str">
        <f t="shared" si="1"/>
        <v>Nepal</v>
      </c>
    </row>
    <row r="126" spans="1:6" x14ac:dyDescent="0.25">
      <c r="A126" s="7" t="s">
        <v>52</v>
      </c>
      <c r="B126" s="7">
        <v>36.186999999999998</v>
      </c>
      <c r="C126" s="7">
        <v>40</v>
      </c>
      <c r="F126" t="str">
        <f t="shared" si="1"/>
        <v>Países Bajos</v>
      </c>
    </row>
    <row r="127" spans="1:6" x14ac:dyDescent="0.25">
      <c r="A127" s="8" t="s">
        <v>4</v>
      </c>
      <c r="B127" s="8">
        <v>34.667000000000002</v>
      </c>
      <c r="C127" s="8">
        <v>40</v>
      </c>
      <c r="F127" t="str">
        <f t="shared" si="1"/>
        <v>Nueva Zelanda</v>
      </c>
    </row>
    <row r="128" spans="1:6" x14ac:dyDescent="0.25">
      <c r="A128" s="7" t="s">
        <v>169</v>
      </c>
      <c r="B128" s="7">
        <v>1.506</v>
      </c>
      <c r="C128" s="7">
        <v>48</v>
      </c>
      <c r="F128" t="str">
        <f t="shared" si="1"/>
        <v>Nicaragua</v>
      </c>
    </row>
    <row r="129" spans="1:6" x14ac:dyDescent="0.25">
      <c r="A129" s="8" t="s">
        <v>204</v>
      </c>
      <c r="B129" s="8">
        <v>650</v>
      </c>
      <c r="C129" s="8">
        <v>40</v>
      </c>
      <c r="F129" t="str">
        <f t="shared" si="1"/>
        <v>Níger</v>
      </c>
    </row>
    <row r="130" spans="1:6" x14ac:dyDescent="0.25">
      <c r="A130" s="7" t="s">
        <v>143</v>
      </c>
      <c r="B130" s="7">
        <v>2.1030000000000002</v>
      </c>
      <c r="C130" s="7">
        <v>40</v>
      </c>
      <c r="F130" t="str">
        <f t="shared" si="1"/>
        <v>Nigeria</v>
      </c>
    </row>
    <row r="131" spans="1:6" x14ac:dyDescent="0.25">
      <c r="A131" s="8" t="s">
        <v>125</v>
      </c>
      <c r="B131" s="8">
        <v>2.4180000000000001</v>
      </c>
      <c r="C131" s="8">
        <v>40</v>
      </c>
      <c r="F131" t="str">
        <f t="shared" si="1"/>
        <v>Macedonia del Norte</v>
      </c>
    </row>
    <row r="132" spans="1:6" x14ac:dyDescent="0.25">
      <c r="A132" s="7" t="s">
        <v>1857</v>
      </c>
      <c r="B132" s="7"/>
      <c r="C132" s="7">
        <v>40</v>
      </c>
      <c r="F132" t="str">
        <f t="shared" ref="F132:F195" si="2">(TRIM(SUBSTITUTE(A132,CHAR(160),"")))</f>
        <v>Chipre del Norte</v>
      </c>
    </row>
    <row r="133" spans="1:6" x14ac:dyDescent="0.25">
      <c r="A133" s="8" t="s">
        <v>29</v>
      </c>
      <c r="B133" s="8"/>
      <c r="C133" s="8">
        <v>37.5</v>
      </c>
      <c r="F133" t="str">
        <f t="shared" si="2"/>
        <v>Noruega</v>
      </c>
    </row>
    <row r="134" spans="1:6" x14ac:dyDescent="0.25">
      <c r="A134" s="7" t="s">
        <v>77</v>
      </c>
      <c r="B134" s="7">
        <v>10.263</v>
      </c>
      <c r="C134" s="7">
        <v>45</v>
      </c>
      <c r="F134" t="str">
        <f t="shared" si="2"/>
        <v>Omán</v>
      </c>
    </row>
    <row r="135" spans="1:6" x14ac:dyDescent="0.25">
      <c r="A135" s="8" t="s">
        <v>112</v>
      </c>
      <c r="B135" s="8">
        <v>1.2889999999999999</v>
      </c>
      <c r="C135" s="8">
        <v>48</v>
      </c>
      <c r="F135" t="str">
        <f t="shared" si="2"/>
        <v>Pakistán</v>
      </c>
    </row>
    <row r="136" spans="1:6" x14ac:dyDescent="0.25">
      <c r="A136" s="7" t="s">
        <v>1848</v>
      </c>
      <c r="B136" s="7">
        <v>6.24</v>
      </c>
      <c r="C136" s="7">
        <v>40</v>
      </c>
      <c r="F136" t="str">
        <f t="shared" si="2"/>
        <v>Palau</v>
      </c>
    </row>
    <row r="137" spans="1:6" x14ac:dyDescent="0.25">
      <c r="A137" s="8" t="s">
        <v>1845</v>
      </c>
      <c r="B137" s="8">
        <v>6.9850000000000003</v>
      </c>
      <c r="C137" s="8">
        <v>45</v>
      </c>
      <c r="F137" t="str">
        <f t="shared" si="2"/>
        <v>Palestina</v>
      </c>
    </row>
    <row r="138" spans="1:6" x14ac:dyDescent="0.25">
      <c r="A138" s="7" t="s">
        <v>150</v>
      </c>
      <c r="B138" s="7">
        <v>3.819</v>
      </c>
      <c r="C138" s="7">
        <v>48</v>
      </c>
      <c r="F138" t="str">
        <f t="shared" si="2"/>
        <v>Panamá</v>
      </c>
    </row>
    <row r="139" spans="1:6" x14ac:dyDescent="0.25">
      <c r="A139" s="8" t="s">
        <v>188</v>
      </c>
      <c r="B139" s="8">
        <v>2.0859999999999999</v>
      </c>
      <c r="C139" s="8">
        <v>44</v>
      </c>
      <c r="F139" t="str">
        <f t="shared" si="2"/>
        <v>Papúa Nueva Guinea</v>
      </c>
    </row>
    <row r="140" spans="1:6" x14ac:dyDescent="0.25">
      <c r="A140" s="7" t="s">
        <v>195</v>
      </c>
      <c r="B140" s="7">
        <v>4.9569999999999999</v>
      </c>
      <c r="C140" s="7">
        <v>48</v>
      </c>
      <c r="F140" t="str">
        <f t="shared" si="2"/>
        <v>Paraguay</v>
      </c>
    </row>
    <row r="141" spans="1:6" x14ac:dyDescent="0.25">
      <c r="A141" s="8" t="s">
        <v>121</v>
      </c>
      <c r="B141" s="8">
        <v>3.4950000000000001</v>
      </c>
      <c r="C141" s="8">
        <v>48</v>
      </c>
      <c r="F141" t="str">
        <f t="shared" si="2"/>
        <v>Perú</v>
      </c>
    </row>
    <row r="142" spans="1:6" x14ac:dyDescent="0.25">
      <c r="A142" s="7" t="s">
        <v>155</v>
      </c>
      <c r="B142" s="7">
        <v>3.4049999999999998</v>
      </c>
      <c r="C142" s="7">
        <v>40</v>
      </c>
      <c r="F142" t="str">
        <f t="shared" si="2"/>
        <v>Filipinas</v>
      </c>
    </row>
    <row r="143" spans="1:6" x14ac:dyDescent="0.25">
      <c r="A143" s="8" t="s">
        <v>127</v>
      </c>
      <c r="B143" s="8">
        <v>14.506</v>
      </c>
      <c r="C143" s="8">
        <v>40</v>
      </c>
      <c r="F143" t="str">
        <f t="shared" si="2"/>
        <v>Polonia</v>
      </c>
    </row>
    <row r="144" spans="1:6" x14ac:dyDescent="0.25">
      <c r="A144" s="7" t="s">
        <v>53</v>
      </c>
      <c r="B144" s="7">
        <v>11.638</v>
      </c>
      <c r="C144" s="7">
        <v>40</v>
      </c>
      <c r="F144" t="str">
        <f t="shared" si="2"/>
        <v>Portugal</v>
      </c>
    </row>
    <row r="145" spans="1:6" x14ac:dyDescent="0.25">
      <c r="A145" s="8" t="s">
        <v>1059</v>
      </c>
      <c r="B145" s="8"/>
      <c r="C145" s="8">
        <v>48</v>
      </c>
      <c r="F145" t="str">
        <f t="shared" si="2"/>
        <v>Qatar</v>
      </c>
    </row>
    <row r="146" spans="1:6" x14ac:dyDescent="0.25">
      <c r="A146" s="7" t="s">
        <v>17</v>
      </c>
      <c r="B146" s="7">
        <v>11.683</v>
      </c>
      <c r="C146" s="7">
        <v>40</v>
      </c>
      <c r="F146" t="str">
        <f t="shared" si="2"/>
        <v>Rumania</v>
      </c>
    </row>
    <row r="147" spans="1:6" x14ac:dyDescent="0.25">
      <c r="A147" s="8" t="s">
        <v>25</v>
      </c>
      <c r="B147" s="8">
        <v>4.4139999999999997</v>
      </c>
      <c r="C147" s="8">
        <v>40</v>
      </c>
      <c r="F147" t="str">
        <f t="shared" si="2"/>
        <v>Rusia</v>
      </c>
    </row>
    <row r="148" spans="1:6" x14ac:dyDescent="0.25">
      <c r="A148" s="7" t="s">
        <v>205</v>
      </c>
      <c r="B148" s="7"/>
      <c r="C148" s="7">
        <v>45</v>
      </c>
      <c r="F148" t="str">
        <f t="shared" si="2"/>
        <v>Ruanda</v>
      </c>
    </row>
    <row r="149" spans="1:6" x14ac:dyDescent="0.25">
      <c r="A149" s="8" t="s">
        <v>41</v>
      </c>
      <c r="B149" s="8">
        <v>6.9329999999999998</v>
      </c>
      <c r="C149" s="8">
        <v>40</v>
      </c>
      <c r="F149" t="str">
        <f t="shared" si="2"/>
        <v>San Cristóbal y Nieves</v>
      </c>
    </row>
    <row r="150" spans="1:6" x14ac:dyDescent="0.25">
      <c r="A150" s="7" t="s">
        <v>47</v>
      </c>
      <c r="B150" s="7"/>
      <c r="C150" s="7">
        <v>40</v>
      </c>
      <c r="F150" t="str">
        <f t="shared" si="2"/>
        <v>Santa Lucía</v>
      </c>
    </row>
    <row r="151" spans="1:6" x14ac:dyDescent="0.25">
      <c r="A151" s="8" t="s">
        <v>120</v>
      </c>
      <c r="B151" s="8">
        <v>2.407</v>
      </c>
      <c r="C151" s="8">
        <v>40</v>
      </c>
      <c r="F151" t="str">
        <f t="shared" si="2"/>
        <v>San Vicente y las Granadinas</v>
      </c>
    </row>
    <row r="152" spans="1:6" x14ac:dyDescent="0.25">
      <c r="A152" s="7" t="s">
        <v>147</v>
      </c>
      <c r="B152" s="7">
        <v>1.625</v>
      </c>
      <c r="C152" s="7">
        <v>40</v>
      </c>
      <c r="F152" t="str">
        <f t="shared" si="2"/>
        <v>Samoa</v>
      </c>
    </row>
    <row r="153" spans="1:6" x14ac:dyDescent="0.25">
      <c r="A153" s="8" t="s">
        <v>42</v>
      </c>
      <c r="B153" s="8">
        <v>21.31</v>
      </c>
      <c r="C153" s="8">
        <v>37.5</v>
      </c>
      <c r="F153" t="str">
        <f t="shared" si="2"/>
        <v>San Marino</v>
      </c>
    </row>
    <row r="154" spans="1:6" x14ac:dyDescent="0.25">
      <c r="A154" s="7" t="s">
        <v>1846</v>
      </c>
      <c r="B154" s="7">
        <v>1740</v>
      </c>
      <c r="C154" s="7"/>
      <c r="F154" t="str">
        <f t="shared" si="2"/>
        <v>São Tomé y Príncipe</v>
      </c>
    </row>
    <row r="155" spans="1:6" x14ac:dyDescent="0.25">
      <c r="A155" s="8" t="s">
        <v>157</v>
      </c>
      <c r="B155" s="8">
        <v>12.8</v>
      </c>
      <c r="C155" s="8">
        <v>48</v>
      </c>
      <c r="F155" t="str">
        <f t="shared" si="2"/>
        <v>Arabia Saudita</v>
      </c>
    </row>
    <row r="156" spans="1:6" x14ac:dyDescent="0.25">
      <c r="A156" s="7" t="s">
        <v>214</v>
      </c>
      <c r="B156" s="7">
        <v>686</v>
      </c>
      <c r="C156" s="7">
        <v>40</v>
      </c>
      <c r="F156" t="str">
        <f t="shared" si="2"/>
        <v>Senegal</v>
      </c>
    </row>
    <row r="157" spans="1:6" x14ac:dyDescent="0.25">
      <c r="A157" s="8" t="s">
        <v>64</v>
      </c>
      <c r="B157" s="8">
        <v>3.61</v>
      </c>
      <c r="C157" s="8">
        <v>40</v>
      </c>
      <c r="F157" t="str">
        <f t="shared" si="2"/>
        <v>Serbia</v>
      </c>
    </row>
    <row r="158" spans="1:6" x14ac:dyDescent="0.25">
      <c r="A158" s="7" t="s">
        <v>178</v>
      </c>
      <c r="B158" s="7">
        <v>3.282</v>
      </c>
      <c r="C158" s="7">
        <v>40</v>
      </c>
      <c r="F158" t="str">
        <f t="shared" si="2"/>
        <v>Seychelles</v>
      </c>
    </row>
    <row r="159" spans="1:6" x14ac:dyDescent="0.25">
      <c r="A159" s="8" t="s">
        <v>153</v>
      </c>
      <c r="B159" s="8">
        <v>575</v>
      </c>
      <c r="C159" s="8">
        <v>40</v>
      </c>
      <c r="F159" t="str">
        <f t="shared" si="2"/>
        <v>Sierra Leona</v>
      </c>
    </row>
    <row r="160" spans="1:6" x14ac:dyDescent="0.25">
      <c r="A160" s="7" t="s">
        <v>175</v>
      </c>
      <c r="B160" s="7"/>
      <c r="C160" s="7">
        <v>44</v>
      </c>
      <c r="F160" t="str">
        <f t="shared" si="2"/>
        <v>Singapur</v>
      </c>
    </row>
    <row r="161" spans="1:6" x14ac:dyDescent="0.25">
      <c r="A161" s="8" t="s">
        <v>20</v>
      </c>
      <c r="B161" s="8">
        <v>9.9139999999999997</v>
      </c>
      <c r="C161" s="8">
        <v>40</v>
      </c>
      <c r="F161" t="str">
        <f t="shared" si="2"/>
        <v>Eslovaquia</v>
      </c>
    </row>
    <row r="162" spans="1:6" x14ac:dyDescent="0.25">
      <c r="A162" s="7" t="s">
        <v>27</v>
      </c>
      <c r="B162" s="7">
        <v>17.079000000000001</v>
      </c>
      <c r="C162" s="7">
        <v>40</v>
      </c>
      <c r="F162" t="str">
        <f t="shared" si="2"/>
        <v>Eslovenia</v>
      </c>
    </row>
    <row r="163" spans="1:6" x14ac:dyDescent="0.25">
      <c r="A163" s="8" t="s">
        <v>88</v>
      </c>
      <c r="B163" s="8">
        <v>933</v>
      </c>
      <c r="C163" s="8">
        <v>45</v>
      </c>
      <c r="F163" t="str">
        <f t="shared" si="2"/>
        <v>Islas Salomón</v>
      </c>
    </row>
    <row r="164" spans="1:6" x14ac:dyDescent="0.25">
      <c r="A164" s="7" t="s">
        <v>107</v>
      </c>
      <c r="B164" s="7"/>
      <c r="C164" s="7">
        <v>48</v>
      </c>
      <c r="F164" t="str">
        <f t="shared" si="2"/>
        <v>Somalia</v>
      </c>
    </row>
    <row r="165" spans="1:6" x14ac:dyDescent="0.25">
      <c r="A165" s="8" t="s">
        <v>30</v>
      </c>
      <c r="B165" s="8">
        <v>3.6709999999999998</v>
      </c>
      <c r="C165" s="8">
        <v>45</v>
      </c>
      <c r="F165" t="str">
        <f t="shared" si="2"/>
        <v>Sudáfrica</v>
      </c>
    </row>
    <row r="166" spans="1:6" x14ac:dyDescent="0.25">
      <c r="A166" s="7" t="s">
        <v>171</v>
      </c>
      <c r="B166" s="7"/>
      <c r="C166" s="7"/>
      <c r="F166" t="str">
        <f t="shared" si="2"/>
        <v>Sudán del Sur</v>
      </c>
    </row>
    <row r="167" spans="1:6" x14ac:dyDescent="0.25">
      <c r="A167" s="8" t="s">
        <v>95</v>
      </c>
      <c r="B167" s="8">
        <v>17.457000000000001</v>
      </c>
      <c r="C167" s="8">
        <v>40</v>
      </c>
      <c r="F167" t="str">
        <f t="shared" si="2"/>
        <v>España</v>
      </c>
    </row>
    <row r="168" spans="1:6" x14ac:dyDescent="0.25">
      <c r="A168" s="7" t="s">
        <v>174</v>
      </c>
      <c r="B168" s="7">
        <v>1.629</v>
      </c>
      <c r="C168" s="7">
        <v>48</v>
      </c>
      <c r="F168" t="str">
        <f t="shared" si="2"/>
        <v>Sri Lanka</v>
      </c>
    </row>
    <row r="169" spans="1:6" x14ac:dyDescent="0.25">
      <c r="A169" s="8" t="s">
        <v>119</v>
      </c>
      <c r="B169" s="8">
        <v>13</v>
      </c>
      <c r="C169" s="8">
        <v>40</v>
      </c>
      <c r="F169" t="str">
        <f t="shared" si="2"/>
        <v>Sudán</v>
      </c>
    </row>
    <row r="170" spans="1:6" x14ac:dyDescent="0.25">
      <c r="A170" s="7" t="s">
        <v>43</v>
      </c>
      <c r="B170" s="7">
        <v>5.9829999999999997</v>
      </c>
      <c r="C170" s="7">
        <v>40</v>
      </c>
      <c r="F170" t="str">
        <f t="shared" si="2"/>
        <v>Surinam</v>
      </c>
    </row>
    <row r="171" spans="1:6" x14ac:dyDescent="0.25">
      <c r="A171" s="8" t="s">
        <v>46</v>
      </c>
      <c r="B171" s="8"/>
      <c r="C171" s="8">
        <v>40</v>
      </c>
      <c r="F171" t="str">
        <f t="shared" si="2"/>
        <v>Suecia</v>
      </c>
    </row>
    <row r="172" spans="1:6" x14ac:dyDescent="0.25">
      <c r="A172" s="7" t="s">
        <v>35</v>
      </c>
      <c r="B172" s="7"/>
      <c r="C172" s="7">
        <v>41.7</v>
      </c>
      <c r="F172" t="str">
        <f t="shared" si="2"/>
        <v>Suiza</v>
      </c>
    </row>
    <row r="173" spans="1:6" x14ac:dyDescent="0.25">
      <c r="A173" s="8" t="s">
        <v>33</v>
      </c>
      <c r="B173" s="8">
        <v>96</v>
      </c>
      <c r="C173" s="8">
        <v>40</v>
      </c>
      <c r="F173" t="str">
        <f t="shared" si="2"/>
        <v>Siria</v>
      </c>
    </row>
    <row r="174" spans="1:6" x14ac:dyDescent="0.25">
      <c r="A174" s="7" t="s">
        <v>217</v>
      </c>
      <c r="B174" s="7">
        <v>11.973000000000001</v>
      </c>
      <c r="C174" s="7">
        <v>40</v>
      </c>
      <c r="F174" t="str">
        <f t="shared" si="2"/>
        <v>Taiwán</v>
      </c>
    </row>
    <row r="175" spans="1:6" x14ac:dyDescent="0.25">
      <c r="A175" s="8" t="s">
        <v>216</v>
      </c>
      <c r="B175" s="8">
        <v>1.0609999999999999</v>
      </c>
      <c r="C175" s="8">
        <v>40</v>
      </c>
      <c r="F175" t="str">
        <f t="shared" si="2"/>
        <v>Tayikistán</v>
      </c>
    </row>
    <row r="176" spans="1:6" x14ac:dyDescent="0.25">
      <c r="A176" s="7" t="s">
        <v>191</v>
      </c>
      <c r="B176" s="7">
        <v>209</v>
      </c>
      <c r="C176" s="7">
        <v>45</v>
      </c>
      <c r="F176" t="str">
        <f t="shared" si="2"/>
        <v>Tanzania</v>
      </c>
    </row>
    <row r="177" spans="1:6" x14ac:dyDescent="0.25">
      <c r="A177" s="8" t="s">
        <v>78</v>
      </c>
      <c r="B177" s="8">
        <v>3.7330000000000001</v>
      </c>
      <c r="C177" s="8">
        <v>48</v>
      </c>
      <c r="F177" t="str">
        <f t="shared" si="2"/>
        <v>Tailandia</v>
      </c>
    </row>
    <row r="178" spans="1:6" x14ac:dyDescent="0.25">
      <c r="A178" s="7" t="s">
        <v>158</v>
      </c>
      <c r="B178" s="7">
        <v>1.38</v>
      </c>
      <c r="C178" s="7">
        <v>44</v>
      </c>
      <c r="F178" t="str">
        <f t="shared" si="2"/>
        <v>Timor Oriental</v>
      </c>
    </row>
    <row r="179" spans="1:6" x14ac:dyDescent="0.25">
      <c r="A179" s="8" t="s">
        <v>192</v>
      </c>
      <c r="B179" s="8">
        <v>757</v>
      </c>
      <c r="C179" s="8">
        <v>40</v>
      </c>
      <c r="F179" t="str">
        <f t="shared" si="2"/>
        <v>Togo</v>
      </c>
    </row>
    <row r="180" spans="1:6" x14ac:dyDescent="0.25">
      <c r="A180" s="7" t="s">
        <v>99</v>
      </c>
      <c r="B180" s="7"/>
      <c r="C180" s="7">
        <v>40</v>
      </c>
      <c r="F180" t="str">
        <f t="shared" si="2"/>
        <v>Tonga</v>
      </c>
    </row>
    <row r="181" spans="1:6" x14ac:dyDescent="0.25">
      <c r="A181" s="8" t="s">
        <v>18</v>
      </c>
      <c r="B181" s="8">
        <v>4.6150000000000002</v>
      </c>
      <c r="C181" s="8">
        <v>40</v>
      </c>
      <c r="F181" t="str">
        <f t="shared" si="2"/>
        <v>Trinidad y Tobago</v>
      </c>
    </row>
    <row r="182" spans="1:6" x14ac:dyDescent="0.25">
      <c r="A182" s="7" t="s">
        <v>83</v>
      </c>
      <c r="B182" s="7">
        <v>2</v>
      </c>
      <c r="C182" s="7">
        <v>48</v>
      </c>
      <c r="F182" t="str">
        <f t="shared" si="2"/>
        <v>Túnez</v>
      </c>
    </row>
    <row r="183" spans="1:6" x14ac:dyDescent="0.25">
      <c r="A183" s="8" t="s">
        <v>129</v>
      </c>
      <c r="B183" s="8">
        <v>10.023</v>
      </c>
      <c r="C183" s="8">
        <v>45</v>
      </c>
      <c r="F183" t="str">
        <f t="shared" si="2"/>
        <v>Turquía</v>
      </c>
    </row>
    <row r="184" spans="1:6" x14ac:dyDescent="0.25">
      <c r="A184" s="7" t="s">
        <v>72</v>
      </c>
      <c r="B184" s="7"/>
      <c r="C184" s="7"/>
      <c r="F184" t="str">
        <f t="shared" si="2"/>
        <v>Tuvalu</v>
      </c>
    </row>
    <row r="185" spans="1:6" x14ac:dyDescent="0.25">
      <c r="A185" s="8" t="s">
        <v>202</v>
      </c>
      <c r="B185" s="8">
        <v>426</v>
      </c>
      <c r="C185" s="8">
        <v>40</v>
      </c>
      <c r="F185" t="str">
        <f t="shared" si="2"/>
        <v>Uganda</v>
      </c>
    </row>
    <row r="186" spans="1:6" x14ac:dyDescent="0.25">
      <c r="A186" s="7" t="s">
        <v>51</v>
      </c>
      <c r="B186" s="7">
        <v>3.802</v>
      </c>
      <c r="C186" s="7">
        <v>40</v>
      </c>
      <c r="F186" t="str">
        <f t="shared" si="2"/>
        <v>Ucrania</v>
      </c>
    </row>
    <row r="187" spans="1:6" x14ac:dyDescent="0.25">
      <c r="A187" s="8" t="s">
        <v>190</v>
      </c>
      <c r="B187" s="8"/>
      <c r="C187" s="8">
        <v>48</v>
      </c>
      <c r="F187" t="str">
        <f t="shared" si="2"/>
        <v>Emiratos Árabes Unidos</v>
      </c>
    </row>
    <row r="188" spans="1:6" x14ac:dyDescent="0.25">
      <c r="A188" s="7" t="s">
        <v>38</v>
      </c>
      <c r="B188" s="7">
        <v>34.79</v>
      </c>
      <c r="C188" s="7">
        <v>40</v>
      </c>
      <c r="F188" t="str">
        <f t="shared" si="2"/>
        <v>Reino Unido</v>
      </c>
    </row>
    <row r="189" spans="1:6" x14ac:dyDescent="0.25">
      <c r="A189" s="8" t="s">
        <v>69</v>
      </c>
      <c r="B189" s="8">
        <v>15.08</v>
      </c>
      <c r="C189" s="8">
        <v>40</v>
      </c>
      <c r="F189" t="str">
        <f t="shared" si="2"/>
        <v>Estados Unidos</v>
      </c>
    </row>
    <row r="190" spans="1:6" x14ac:dyDescent="0.25">
      <c r="A190" s="7" t="s">
        <v>50</v>
      </c>
      <c r="B190" s="7">
        <v>6.1360000000000001</v>
      </c>
      <c r="C190" s="7">
        <v>48</v>
      </c>
      <c r="F190" t="str">
        <f t="shared" si="2"/>
        <v>Uruguay</v>
      </c>
    </row>
    <row r="191" spans="1:6" x14ac:dyDescent="0.25">
      <c r="A191" s="8" t="s">
        <v>213</v>
      </c>
      <c r="B191" s="8">
        <v>1.0409999999999999</v>
      </c>
      <c r="C191" s="8">
        <v>40</v>
      </c>
      <c r="F191" t="str">
        <f t="shared" si="2"/>
        <v>Uzbekistán</v>
      </c>
    </row>
    <row r="192" spans="1:6" x14ac:dyDescent="0.25">
      <c r="A192" s="7" t="s">
        <v>109</v>
      </c>
      <c r="B192" s="7">
        <v>3.24</v>
      </c>
      <c r="C192" s="7">
        <v>40</v>
      </c>
      <c r="F192" t="str">
        <f t="shared" si="2"/>
        <v>Vanuatu</v>
      </c>
    </row>
    <row r="193" spans="1:6" x14ac:dyDescent="0.25">
      <c r="A193" s="8" t="s">
        <v>45</v>
      </c>
      <c r="B193" s="8">
        <v>10.32</v>
      </c>
      <c r="C193" s="8"/>
      <c r="F193" t="str">
        <f t="shared" si="2"/>
        <v>Venezuela</v>
      </c>
    </row>
    <row r="194" spans="1:6" x14ac:dyDescent="0.25">
      <c r="A194" s="7" t="s">
        <v>215</v>
      </c>
      <c r="B194" s="7">
        <v>2.7509999999999999</v>
      </c>
      <c r="C194" s="7">
        <v>40</v>
      </c>
      <c r="F194" t="str">
        <f t="shared" si="2"/>
        <v>Vietnam</v>
      </c>
    </row>
    <row r="195" spans="1:6" x14ac:dyDescent="0.25">
      <c r="A195" s="8" t="s">
        <v>11</v>
      </c>
      <c r="B195" s="8"/>
      <c r="C195" s="8">
        <v>48</v>
      </c>
      <c r="F195" t="str">
        <f t="shared" si="2"/>
        <v>Yemen</v>
      </c>
    </row>
    <row r="196" spans="1:6" x14ac:dyDescent="0.25">
      <c r="A196" s="7" t="s">
        <v>135</v>
      </c>
      <c r="B196" s="7">
        <v>596</v>
      </c>
      <c r="C196" s="7">
        <v>48</v>
      </c>
      <c r="F196" t="str">
        <f t="shared" ref="F196:F197" si="3">(TRIM(SUBSTITUTE(A196,CHAR(160),"")))</f>
        <v>Zambia</v>
      </c>
    </row>
    <row r="197" spans="1:6" x14ac:dyDescent="0.25">
      <c r="A197" s="9" t="s">
        <v>211</v>
      </c>
      <c r="B197" s="9"/>
      <c r="C197" s="9"/>
      <c r="F197" t="str">
        <f t="shared" si="3"/>
        <v>Zimbabue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4480-7ACC-4005-B358-031E56D8D2BF}">
  <dimension ref="A1:F177"/>
  <sheetViews>
    <sheetView workbookViewId="0">
      <selection activeCell="A3" sqref="A3"/>
    </sheetView>
  </sheetViews>
  <sheetFormatPr baseColWidth="10" defaultRowHeight="15" x14ac:dyDescent="0.25"/>
  <cols>
    <col min="1" max="3" width="30.42578125" customWidth="1"/>
  </cols>
  <sheetData>
    <row r="1" spans="1:6" x14ac:dyDescent="0.25">
      <c r="A1" t="s">
        <v>0</v>
      </c>
      <c r="B1" t="s">
        <v>1598</v>
      </c>
      <c r="C1" t="s">
        <v>1599</v>
      </c>
    </row>
    <row r="2" spans="1:6" x14ac:dyDescent="0.25">
      <c r="A2" t="s">
        <v>133</v>
      </c>
      <c r="B2">
        <v>46</v>
      </c>
      <c r="C2">
        <v>68</v>
      </c>
      <c r="F2" t="str">
        <f>(TRIM(SUBSTITUTE(A2,CHAR(160),"")))</f>
        <v>Albania</v>
      </c>
    </row>
    <row r="3" spans="1:6" x14ac:dyDescent="0.25">
      <c r="A3" t="s">
        <v>5</v>
      </c>
      <c r="B3">
        <v>24</v>
      </c>
      <c r="C3">
        <v>71.7</v>
      </c>
      <c r="F3" t="str">
        <f t="shared" ref="F3:F66" si="0">(TRIM(SUBSTITUTE(A3,CHAR(160),"")))</f>
        <v>Alemania</v>
      </c>
    </row>
    <row r="4" spans="1:6" x14ac:dyDescent="0.25">
      <c r="A4" t="s">
        <v>116</v>
      </c>
      <c r="B4">
        <v>121</v>
      </c>
      <c r="C4">
        <v>54.4</v>
      </c>
      <c r="F4" t="str">
        <f t="shared" si="0"/>
        <v>Angola</v>
      </c>
    </row>
    <row r="5" spans="1:6" x14ac:dyDescent="0.25">
      <c r="A5" t="s">
        <v>157</v>
      </c>
      <c r="B5">
        <v>59</v>
      </c>
      <c r="C5">
        <v>65.400000000000006</v>
      </c>
      <c r="F5" t="str">
        <f t="shared" si="0"/>
        <v>Arabia Saudita</v>
      </c>
    </row>
    <row r="6" spans="1:6" x14ac:dyDescent="0.25">
      <c r="A6" t="s">
        <v>138</v>
      </c>
      <c r="B6">
        <v>163</v>
      </c>
      <c r="C6">
        <v>45.8</v>
      </c>
      <c r="F6" t="str">
        <f t="shared" si="0"/>
        <v>Argelia</v>
      </c>
    </row>
    <row r="7" spans="1:6" x14ac:dyDescent="0.25">
      <c r="A7" t="s">
        <v>152</v>
      </c>
      <c r="B7">
        <v>106</v>
      </c>
      <c r="C7">
        <v>57.4</v>
      </c>
      <c r="F7" t="str">
        <f t="shared" si="0"/>
        <v>Argentina</v>
      </c>
    </row>
    <row r="8" spans="1:6" x14ac:dyDescent="0.25">
      <c r="A8" t="s">
        <v>207</v>
      </c>
      <c r="B8">
        <v>52</v>
      </c>
      <c r="C8">
        <v>67.099999999999994</v>
      </c>
      <c r="F8" t="str">
        <f t="shared" si="0"/>
        <v>Armenia</v>
      </c>
    </row>
    <row r="9" spans="1:6" x14ac:dyDescent="0.25">
      <c r="A9" t="s">
        <v>56</v>
      </c>
      <c r="B9">
        <v>4</v>
      </c>
      <c r="C9">
        <v>80.099999999999994</v>
      </c>
      <c r="F9" t="str">
        <f t="shared" si="0"/>
        <v>Australia</v>
      </c>
    </row>
    <row r="10" spans="1:6" x14ac:dyDescent="0.25">
      <c r="A10" t="s">
        <v>15</v>
      </c>
      <c r="B10">
        <v>33</v>
      </c>
      <c r="C10">
        <v>69.8</v>
      </c>
      <c r="F10" t="str">
        <f t="shared" si="0"/>
        <v>Austria</v>
      </c>
    </row>
    <row r="11" spans="1:6" x14ac:dyDescent="0.25">
      <c r="A11" t="s">
        <v>40</v>
      </c>
      <c r="B11">
        <v>67</v>
      </c>
      <c r="C11">
        <v>64.3</v>
      </c>
      <c r="F11" t="str">
        <f t="shared" si="0"/>
        <v>Azerbaiyán</v>
      </c>
    </row>
    <row r="12" spans="1:6" x14ac:dyDescent="0.25">
      <c r="A12" t="s">
        <v>96</v>
      </c>
      <c r="B12">
        <v>61</v>
      </c>
      <c r="C12">
        <v>65.099999999999994</v>
      </c>
      <c r="F12" t="str">
        <f t="shared" si="0"/>
        <v>Bahamas</v>
      </c>
    </row>
    <row r="13" spans="1:6" x14ac:dyDescent="0.25">
      <c r="A13" t="s">
        <v>1849</v>
      </c>
      <c r="B13">
        <v>120</v>
      </c>
      <c r="C13">
        <v>54.8</v>
      </c>
      <c r="F13" t="str">
        <f t="shared" si="0"/>
        <v>Bangladés</v>
      </c>
    </row>
    <row r="14" spans="1:6" x14ac:dyDescent="0.25">
      <c r="A14" t="s">
        <v>92</v>
      </c>
      <c r="B14">
        <v>28</v>
      </c>
      <c r="C14">
        <v>70.400000000000006</v>
      </c>
      <c r="F14" t="str">
        <f t="shared" si="0"/>
        <v>Barbados</v>
      </c>
    </row>
    <row r="15" spans="1:6" x14ac:dyDescent="0.25">
      <c r="A15" t="s">
        <v>115</v>
      </c>
      <c r="B15">
        <v>57</v>
      </c>
      <c r="C15">
        <v>65.7</v>
      </c>
      <c r="F15" t="str">
        <f t="shared" si="0"/>
        <v>Baréin</v>
      </c>
    </row>
    <row r="16" spans="1:6" x14ac:dyDescent="0.25">
      <c r="A16" t="s">
        <v>24</v>
      </c>
      <c r="B16">
        <v>36</v>
      </c>
      <c r="C16">
        <v>69.2</v>
      </c>
      <c r="F16" t="str">
        <f t="shared" si="0"/>
        <v>Bélgica</v>
      </c>
    </row>
    <row r="17" spans="1:6" x14ac:dyDescent="0.25">
      <c r="A17" t="s">
        <v>93</v>
      </c>
      <c r="B17">
        <v>64</v>
      </c>
      <c r="C17">
        <v>64.7</v>
      </c>
      <c r="F17" t="str">
        <f t="shared" si="0"/>
        <v>Belice</v>
      </c>
    </row>
    <row r="18" spans="1:6" x14ac:dyDescent="0.25">
      <c r="A18" t="s">
        <v>210</v>
      </c>
      <c r="B18">
        <v>88</v>
      </c>
      <c r="C18">
        <v>60</v>
      </c>
      <c r="F18" t="str">
        <f t="shared" si="0"/>
        <v>Benín</v>
      </c>
    </row>
    <row r="19" spans="1:6" x14ac:dyDescent="0.25">
      <c r="A19" t="s">
        <v>34</v>
      </c>
      <c r="B19">
        <v>150</v>
      </c>
      <c r="C19">
        <v>49.1</v>
      </c>
      <c r="F19" t="str">
        <f t="shared" si="0"/>
        <v>Bielorrusia</v>
      </c>
    </row>
    <row r="20" spans="1:6" x14ac:dyDescent="0.25">
      <c r="A20" t="s">
        <v>999</v>
      </c>
      <c r="B20">
        <v>164</v>
      </c>
      <c r="C20">
        <v>44.5</v>
      </c>
      <c r="F20" t="str">
        <f t="shared" si="0"/>
        <v>Birmania</v>
      </c>
    </row>
    <row r="21" spans="1:6" x14ac:dyDescent="0.25">
      <c r="A21" t="s">
        <v>32</v>
      </c>
      <c r="B21">
        <v>168</v>
      </c>
      <c r="C21">
        <v>42.4</v>
      </c>
      <c r="F21" t="str">
        <f t="shared" si="0"/>
        <v>Bolivia</v>
      </c>
    </row>
    <row r="22" spans="1:6" x14ac:dyDescent="0.25">
      <c r="A22" t="s">
        <v>63</v>
      </c>
      <c r="B22">
        <v>76</v>
      </c>
      <c r="C22">
        <v>63.1</v>
      </c>
      <c r="F22" t="str">
        <f t="shared" si="0"/>
        <v>Bosnia y Herzegovina</v>
      </c>
    </row>
    <row r="23" spans="1:6" x14ac:dyDescent="0.25">
      <c r="A23" t="s">
        <v>22</v>
      </c>
      <c r="B23">
        <v>48</v>
      </c>
      <c r="C23">
        <v>67.7</v>
      </c>
      <c r="F23" t="str">
        <f t="shared" si="0"/>
        <v>Botsuana</v>
      </c>
    </row>
    <row r="24" spans="1:6" x14ac:dyDescent="0.25">
      <c r="A24" t="s">
        <v>74</v>
      </c>
      <c r="B24">
        <v>134</v>
      </c>
      <c r="C24">
        <v>52.4</v>
      </c>
      <c r="F24" t="str">
        <f t="shared" si="0"/>
        <v>Brasil</v>
      </c>
    </row>
    <row r="25" spans="1:6" x14ac:dyDescent="0.25">
      <c r="A25" t="s">
        <v>14</v>
      </c>
      <c r="B25">
        <v>51</v>
      </c>
      <c r="C25">
        <v>67.5</v>
      </c>
      <c r="F25" t="str">
        <f t="shared" si="0"/>
        <v>Brunéi</v>
      </c>
    </row>
    <row r="26" spans="1:6" x14ac:dyDescent="0.25">
      <c r="A26" t="s">
        <v>113</v>
      </c>
      <c r="B26">
        <v>38</v>
      </c>
      <c r="C26">
        <v>68.900000000000006</v>
      </c>
      <c r="F26" t="str">
        <f t="shared" si="0"/>
        <v>Bulgaria</v>
      </c>
    </row>
    <row r="27" spans="1:6" x14ac:dyDescent="0.25">
      <c r="A27" t="s">
        <v>172</v>
      </c>
      <c r="B27">
        <v>151</v>
      </c>
      <c r="C27">
        <v>49.1</v>
      </c>
      <c r="F27" t="str">
        <f t="shared" si="0"/>
        <v>Burkina Faso</v>
      </c>
    </row>
    <row r="28" spans="1:6" x14ac:dyDescent="0.25">
      <c r="A28" t="s">
        <v>140</v>
      </c>
      <c r="B28">
        <v>170</v>
      </c>
      <c r="C28">
        <v>40.200000000000003</v>
      </c>
      <c r="F28" t="str">
        <f t="shared" si="0"/>
        <v>Burundi</v>
      </c>
    </row>
    <row r="29" spans="1:6" x14ac:dyDescent="0.25">
      <c r="A29" t="s">
        <v>206</v>
      </c>
      <c r="B29">
        <v>105</v>
      </c>
      <c r="C29">
        <v>57.5</v>
      </c>
      <c r="F29" t="str">
        <f t="shared" si="0"/>
        <v>Bután</v>
      </c>
    </row>
    <row r="30" spans="1:6" x14ac:dyDescent="0.25">
      <c r="A30" t="s">
        <v>184</v>
      </c>
      <c r="B30">
        <v>26</v>
      </c>
      <c r="C30">
        <v>71.400000000000006</v>
      </c>
      <c r="F30" t="str">
        <f t="shared" si="0"/>
        <v>Cabo Verde</v>
      </c>
    </row>
    <row r="31" spans="1:6" x14ac:dyDescent="0.25">
      <c r="A31" t="s">
        <v>173</v>
      </c>
      <c r="B31">
        <v>98</v>
      </c>
      <c r="C31">
        <v>58.7</v>
      </c>
      <c r="F31" t="str">
        <f t="shared" si="0"/>
        <v>Camboya</v>
      </c>
    </row>
    <row r="32" spans="1:6" x14ac:dyDescent="0.25">
      <c r="A32" t="s">
        <v>111</v>
      </c>
      <c r="B32">
        <v>136</v>
      </c>
      <c r="C32">
        <v>52</v>
      </c>
      <c r="F32" t="str">
        <f t="shared" si="0"/>
        <v>Camerún</v>
      </c>
    </row>
    <row r="33" spans="1:6" x14ac:dyDescent="0.25">
      <c r="A33" t="s">
        <v>48</v>
      </c>
      <c r="B33">
        <v>14</v>
      </c>
      <c r="C33">
        <v>75.599999999999994</v>
      </c>
      <c r="F33" t="str">
        <f t="shared" si="0"/>
        <v>Canadá</v>
      </c>
    </row>
    <row r="34" spans="1:6" x14ac:dyDescent="0.25">
      <c r="A34" t="s">
        <v>97</v>
      </c>
      <c r="B34">
        <v>31</v>
      </c>
      <c r="C34">
        <v>70.2</v>
      </c>
      <c r="F34" t="str">
        <f t="shared" si="0"/>
        <v>Catar</v>
      </c>
    </row>
    <row r="35" spans="1:6" x14ac:dyDescent="0.25">
      <c r="A35" t="s">
        <v>186</v>
      </c>
      <c r="B35">
        <v>139</v>
      </c>
      <c r="C35">
        <v>51.2</v>
      </c>
      <c r="F35" t="str">
        <f t="shared" si="0"/>
        <v>Chad</v>
      </c>
    </row>
    <row r="36" spans="1:6" x14ac:dyDescent="0.25">
      <c r="A36" t="s">
        <v>75</v>
      </c>
      <c r="B36">
        <v>17</v>
      </c>
      <c r="C36">
        <v>74.3</v>
      </c>
      <c r="F36" t="str">
        <f t="shared" si="0"/>
        <v>Chile</v>
      </c>
    </row>
    <row r="37" spans="1:6" x14ac:dyDescent="0.25">
      <c r="A37" t="s">
        <v>170</v>
      </c>
      <c r="B37">
        <v>154</v>
      </c>
      <c r="C37">
        <v>48.3</v>
      </c>
      <c r="F37" t="str">
        <f t="shared" si="0"/>
        <v>China</v>
      </c>
    </row>
    <row r="38" spans="1:6" x14ac:dyDescent="0.25">
      <c r="A38" t="s">
        <v>136</v>
      </c>
      <c r="B38">
        <v>18</v>
      </c>
      <c r="C38">
        <v>74.099999999999994</v>
      </c>
      <c r="F38" t="str">
        <f t="shared" si="0"/>
        <v>Chipre</v>
      </c>
    </row>
    <row r="39" spans="1:6" x14ac:dyDescent="0.25">
      <c r="A39" t="s">
        <v>87</v>
      </c>
      <c r="B39">
        <v>91</v>
      </c>
      <c r="C39">
        <v>59.8</v>
      </c>
      <c r="F39" t="str">
        <f t="shared" si="0"/>
        <v>Colombia</v>
      </c>
    </row>
    <row r="40" spans="1:6" x14ac:dyDescent="0.25">
      <c r="A40" t="s">
        <v>137</v>
      </c>
      <c r="B40">
        <v>130</v>
      </c>
      <c r="C40">
        <v>52.7</v>
      </c>
      <c r="F40" t="str">
        <f t="shared" si="0"/>
        <v>Comoras</v>
      </c>
    </row>
    <row r="41" spans="1:6" x14ac:dyDescent="0.25">
      <c r="A41" t="s">
        <v>110</v>
      </c>
      <c r="B41">
        <v>176</v>
      </c>
      <c r="C41">
        <v>3.1</v>
      </c>
      <c r="F41" t="str">
        <f t="shared" si="0"/>
        <v>Corea del Norte</v>
      </c>
    </row>
    <row r="42" spans="1:6" x14ac:dyDescent="0.25">
      <c r="A42" t="s">
        <v>26</v>
      </c>
      <c r="B42">
        <v>19</v>
      </c>
      <c r="C42">
        <v>73.7</v>
      </c>
      <c r="F42" t="str">
        <f t="shared" si="0"/>
        <v>Corea del Sur</v>
      </c>
    </row>
    <row r="43" spans="1:6" x14ac:dyDescent="0.25">
      <c r="A43" t="s">
        <v>200</v>
      </c>
      <c r="B43">
        <v>102</v>
      </c>
      <c r="C43">
        <v>58.1</v>
      </c>
      <c r="F43" t="str">
        <f t="shared" si="0"/>
        <v>Costa de Marfil</v>
      </c>
    </row>
    <row r="44" spans="1:6" x14ac:dyDescent="0.25">
      <c r="A44" t="s">
        <v>160</v>
      </c>
      <c r="B44">
        <v>37</v>
      </c>
      <c r="C44">
        <v>69.099999999999994</v>
      </c>
      <c r="F44" t="str">
        <f t="shared" si="0"/>
        <v>Costa Rica</v>
      </c>
    </row>
    <row r="45" spans="1:6" x14ac:dyDescent="0.25">
      <c r="A45" t="s">
        <v>117</v>
      </c>
      <c r="B45">
        <v>49</v>
      </c>
      <c r="C45">
        <v>67.5</v>
      </c>
      <c r="F45" t="str">
        <f t="shared" si="0"/>
        <v>Croacia</v>
      </c>
    </row>
    <row r="46" spans="1:6" x14ac:dyDescent="0.25">
      <c r="A46" t="s">
        <v>54</v>
      </c>
      <c r="B46">
        <v>175</v>
      </c>
      <c r="C46">
        <v>25.2</v>
      </c>
      <c r="F46" t="str">
        <f t="shared" si="0"/>
        <v>Cuba</v>
      </c>
    </row>
    <row r="47" spans="1:6" x14ac:dyDescent="0.25">
      <c r="A47" t="s">
        <v>102</v>
      </c>
      <c r="B47">
        <v>7</v>
      </c>
      <c r="C47">
        <v>79</v>
      </c>
      <c r="F47" t="str">
        <f t="shared" si="0"/>
        <v>Dinamarca</v>
      </c>
    </row>
    <row r="48" spans="1:6" x14ac:dyDescent="0.25">
      <c r="A48" t="s">
        <v>159</v>
      </c>
      <c r="B48">
        <v>113</v>
      </c>
      <c r="C48">
        <v>56.1</v>
      </c>
      <c r="F48" t="str">
        <f t="shared" si="0"/>
        <v>Dominica</v>
      </c>
    </row>
    <row r="49" spans="1:6" x14ac:dyDescent="0.25">
      <c r="A49" t="s">
        <v>134</v>
      </c>
      <c r="B49">
        <v>115</v>
      </c>
      <c r="C49">
        <v>55.6</v>
      </c>
      <c r="F49" t="str">
        <f t="shared" si="0"/>
        <v>Ecuador</v>
      </c>
    </row>
    <row r="50" spans="1:6" x14ac:dyDescent="0.25">
      <c r="A50" t="s">
        <v>154</v>
      </c>
      <c r="B50">
        <v>146</v>
      </c>
      <c r="C50">
        <v>50.3</v>
      </c>
      <c r="F50" t="str">
        <f t="shared" si="0"/>
        <v>Egipto</v>
      </c>
    </row>
    <row r="51" spans="1:6" x14ac:dyDescent="0.25">
      <c r="A51" t="s">
        <v>131</v>
      </c>
      <c r="B51">
        <v>103</v>
      </c>
      <c r="C51">
        <v>57.7</v>
      </c>
      <c r="F51" t="str">
        <f t="shared" si="0"/>
        <v>El Salvador</v>
      </c>
    </row>
    <row r="52" spans="1:6" x14ac:dyDescent="0.25">
      <c r="A52" t="s">
        <v>190</v>
      </c>
      <c r="B52">
        <v>23</v>
      </c>
      <c r="C52">
        <v>71.900000000000006</v>
      </c>
      <c r="F52" t="str">
        <f t="shared" si="0"/>
        <v>Emiratos Árabes Unidos</v>
      </c>
    </row>
    <row r="53" spans="1:6" x14ac:dyDescent="0.25">
      <c r="A53" t="s">
        <v>98</v>
      </c>
      <c r="B53">
        <v>171</v>
      </c>
      <c r="C53">
        <v>39.6</v>
      </c>
      <c r="F53" t="str">
        <f t="shared" si="0"/>
        <v>Eritrea</v>
      </c>
    </row>
    <row r="54" spans="1:6" x14ac:dyDescent="0.25">
      <c r="A54" t="s">
        <v>20</v>
      </c>
      <c r="B54">
        <v>47</v>
      </c>
      <c r="C54">
        <v>67.7</v>
      </c>
      <c r="F54" t="str">
        <f t="shared" si="0"/>
        <v>Eslovaquia</v>
      </c>
    </row>
    <row r="55" spans="1:6" x14ac:dyDescent="0.25">
      <c r="A55" t="s">
        <v>27</v>
      </c>
      <c r="B55">
        <v>34</v>
      </c>
      <c r="C55">
        <v>69.7</v>
      </c>
      <c r="F55" t="str">
        <f t="shared" si="0"/>
        <v>Eslovenia</v>
      </c>
    </row>
    <row r="56" spans="1:6" x14ac:dyDescent="0.25">
      <c r="A56" t="s">
        <v>95</v>
      </c>
      <c r="B56">
        <v>53</v>
      </c>
      <c r="C56">
        <v>66.8</v>
      </c>
      <c r="F56" t="str">
        <f t="shared" si="0"/>
        <v>España</v>
      </c>
    </row>
    <row r="57" spans="1:6" x14ac:dyDescent="0.25">
      <c r="A57" t="s">
        <v>1847</v>
      </c>
      <c r="B57">
        <v>78</v>
      </c>
      <c r="C57">
        <v>62.9</v>
      </c>
      <c r="F57" t="str">
        <f t="shared" si="0"/>
        <v>Estados Federados de Micronesia</v>
      </c>
    </row>
    <row r="58" spans="1:6" x14ac:dyDescent="0.25">
      <c r="A58" t="s">
        <v>69</v>
      </c>
      <c r="B58">
        <v>22</v>
      </c>
      <c r="C58">
        <v>72.8</v>
      </c>
      <c r="F58" t="str">
        <f t="shared" si="0"/>
        <v>Estados Unidos</v>
      </c>
    </row>
    <row r="59" spans="1:6" x14ac:dyDescent="0.25">
      <c r="A59" t="s">
        <v>13</v>
      </c>
      <c r="B59">
        <v>9</v>
      </c>
      <c r="C59">
        <v>78.7</v>
      </c>
      <c r="F59" t="str">
        <f t="shared" si="0"/>
        <v>Estonia</v>
      </c>
    </row>
    <row r="60" spans="1:6" x14ac:dyDescent="0.25">
      <c r="A60" t="s">
        <v>218</v>
      </c>
      <c r="B60">
        <v>155</v>
      </c>
      <c r="C60">
        <v>48.1</v>
      </c>
      <c r="F60" t="str">
        <f t="shared" si="0"/>
        <v>Etiopía</v>
      </c>
    </row>
    <row r="61" spans="1:6" x14ac:dyDescent="0.25">
      <c r="A61" t="s">
        <v>155</v>
      </c>
      <c r="B61">
        <v>77</v>
      </c>
      <c r="C61">
        <v>62.9</v>
      </c>
      <c r="F61" t="str">
        <f t="shared" si="0"/>
        <v>Filipinas</v>
      </c>
    </row>
    <row r="62" spans="1:6" x14ac:dyDescent="0.25">
      <c r="A62" t="s">
        <v>3</v>
      </c>
      <c r="B62">
        <v>13</v>
      </c>
      <c r="C62">
        <v>76.599999999999994</v>
      </c>
      <c r="F62" t="str">
        <f t="shared" si="0"/>
        <v>Finlandia</v>
      </c>
    </row>
    <row r="63" spans="1:6" x14ac:dyDescent="0.25">
      <c r="A63" t="s">
        <v>118</v>
      </c>
      <c r="B63">
        <v>93</v>
      </c>
      <c r="C63">
        <v>59.5</v>
      </c>
      <c r="F63" t="str">
        <f t="shared" si="0"/>
        <v>Fiyi</v>
      </c>
    </row>
    <row r="64" spans="1:6" x14ac:dyDescent="0.25">
      <c r="A64" t="s">
        <v>23</v>
      </c>
      <c r="B64">
        <v>65</v>
      </c>
      <c r="C64">
        <v>64.599999999999994</v>
      </c>
      <c r="F64" t="str">
        <f t="shared" si="0"/>
        <v>Francia</v>
      </c>
    </row>
    <row r="65" spans="1:6" x14ac:dyDescent="0.25">
      <c r="A65" t="s">
        <v>84</v>
      </c>
      <c r="B65">
        <v>109</v>
      </c>
      <c r="C65">
        <v>56.6</v>
      </c>
      <c r="F65" t="str">
        <f t="shared" si="0"/>
        <v>Gabón</v>
      </c>
    </row>
    <row r="66" spans="1:6" x14ac:dyDescent="0.25">
      <c r="A66" t="s">
        <v>194</v>
      </c>
      <c r="B66">
        <v>112</v>
      </c>
      <c r="C66">
        <v>56.3</v>
      </c>
      <c r="F66" t="str">
        <f t="shared" si="0"/>
        <v>Gambia</v>
      </c>
    </row>
    <row r="67" spans="1:6" x14ac:dyDescent="0.25">
      <c r="A67" t="s">
        <v>209</v>
      </c>
      <c r="B67">
        <v>35</v>
      </c>
      <c r="C67">
        <v>69.599999999999994</v>
      </c>
      <c r="F67" t="str">
        <f t="shared" ref="F67:F130" si="1">(TRIM(SUBSTITUTE(A67,CHAR(160),"")))</f>
        <v>Georgia</v>
      </c>
    </row>
    <row r="68" spans="1:6" x14ac:dyDescent="0.25">
      <c r="A68" t="s">
        <v>193</v>
      </c>
      <c r="B68">
        <v>107</v>
      </c>
      <c r="C68">
        <v>57.3</v>
      </c>
      <c r="F68" t="str">
        <f t="shared" si="1"/>
        <v>Ghana</v>
      </c>
    </row>
    <row r="69" spans="1:6" x14ac:dyDescent="0.25">
      <c r="A69" t="s">
        <v>65</v>
      </c>
      <c r="B69">
        <v>75</v>
      </c>
      <c r="C69">
        <v>63.2</v>
      </c>
      <c r="F69" t="str">
        <f t="shared" si="1"/>
        <v>Grecia</v>
      </c>
    </row>
    <row r="70" spans="1:6" x14ac:dyDescent="0.25">
      <c r="A70" t="s">
        <v>144</v>
      </c>
      <c r="B70">
        <v>72</v>
      </c>
      <c r="C70">
        <v>63.5</v>
      </c>
      <c r="F70" t="str">
        <f t="shared" si="1"/>
        <v>Guatemala</v>
      </c>
    </row>
    <row r="71" spans="1:6" x14ac:dyDescent="0.25">
      <c r="A71" t="s">
        <v>201</v>
      </c>
      <c r="B71">
        <v>127</v>
      </c>
      <c r="C71">
        <v>53.1</v>
      </c>
      <c r="F71" t="str">
        <f t="shared" si="1"/>
        <v>Guinea</v>
      </c>
    </row>
    <row r="72" spans="1:6" x14ac:dyDescent="0.25">
      <c r="A72" t="s">
        <v>198</v>
      </c>
      <c r="B72">
        <v>159</v>
      </c>
      <c r="C72">
        <v>47.4</v>
      </c>
      <c r="F72" t="str">
        <f t="shared" si="1"/>
        <v>Guinea Ecuatorial</v>
      </c>
    </row>
    <row r="73" spans="1:6" x14ac:dyDescent="0.25">
      <c r="A73" t="s">
        <v>183</v>
      </c>
      <c r="B73">
        <v>165</v>
      </c>
      <c r="C73">
        <v>43.2</v>
      </c>
      <c r="F73" t="str">
        <f t="shared" si="1"/>
        <v>Guinea-Bisáu</v>
      </c>
    </row>
    <row r="74" spans="1:6" x14ac:dyDescent="0.25">
      <c r="A74" t="s">
        <v>62</v>
      </c>
      <c r="B74">
        <v>99</v>
      </c>
      <c r="C74">
        <v>58.7</v>
      </c>
      <c r="F74" t="str">
        <f t="shared" si="1"/>
        <v>Guyana</v>
      </c>
    </row>
    <row r="75" spans="1:6" x14ac:dyDescent="0.25">
      <c r="A75" t="s">
        <v>91</v>
      </c>
      <c r="B75">
        <v>162</v>
      </c>
      <c r="C75">
        <v>46.1</v>
      </c>
      <c r="F75" t="str">
        <f t="shared" si="1"/>
        <v>Haití</v>
      </c>
    </row>
    <row r="76" spans="1:6" x14ac:dyDescent="0.25">
      <c r="A76" t="s">
        <v>132</v>
      </c>
      <c r="B76">
        <v>95</v>
      </c>
      <c r="C76">
        <v>59.1</v>
      </c>
      <c r="F76" t="str">
        <f t="shared" si="1"/>
        <v>Honduras</v>
      </c>
    </row>
    <row r="77" spans="1:6" x14ac:dyDescent="0.25">
      <c r="A77" t="s">
        <v>6</v>
      </c>
      <c r="B77">
        <v>79</v>
      </c>
      <c r="C77">
        <v>62.5</v>
      </c>
      <c r="F77" t="str">
        <f t="shared" si="1"/>
        <v>Hungría</v>
      </c>
    </row>
    <row r="78" spans="1:6" x14ac:dyDescent="0.25">
      <c r="A78" t="s">
        <v>212</v>
      </c>
      <c r="B78">
        <v>132</v>
      </c>
      <c r="C78">
        <v>52.5</v>
      </c>
      <c r="F78" t="str">
        <f t="shared" si="1"/>
        <v>India</v>
      </c>
    </row>
    <row r="79" spans="1:6" x14ac:dyDescent="0.25">
      <c r="A79" t="s">
        <v>180</v>
      </c>
      <c r="B79">
        <v>60</v>
      </c>
      <c r="C79">
        <v>65.099999999999994</v>
      </c>
      <c r="F79" t="str">
        <f t="shared" si="1"/>
        <v>Indonesia</v>
      </c>
    </row>
    <row r="80" spans="1:6" x14ac:dyDescent="0.25">
      <c r="A80" t="s">
        <v>44</v>
      </c>
      <c r="B80">
        <v>169</v>
      </c>
      <c r="C80">
        <v>41.8</v>
      </c>
      <c r="F80" t="str">
        <f t="shared" si="1"/>
        <v>Irán</v>
      </c>
    </row>
    <row r="81" spans="1:6" x14ac:dyDescent="0.25">
      <c r="A81" t="s">
        <v>58</v>
      </c>
      <c r="B81">
        <v>3</v>
      </c>
      <c r="C81">
        <v>83.3</v>
      </c>
      <c r="F81" t="str">
        <f t="shared" si="1"/>
        <v>Irlanda</v>
      </c>
    </row>
    <row r="82" spans="1:6" x14ac:dyDescent="0.25">
      <c r="A82" t="s">
        <v>36</v>
      </c>
      <c r="B82">
        <v>16</v>
      </c>
      <c r="C82">
        <v>75</v>
      </c>
      <c r="F82" t="str">
        <f t="shared" si="1"/>
        <v>Islandia</v>
      </c>
    </row>
    <row r="83" spans="1:6" x14ac:dyDescent="0.25">
      <c r="A83" t="s">
        <v>88</v>
      </c>
      <c r="B83">
        <v>124</v>
      </c>
      <c r="C83">
        <v>53.7</v>
      </c>
      <c r="F83" t="str">
        <f t="shared" si="1"/>
        <v>Islas Salomón</v>
      </c>
    </row>
    <row r="84" spans="1:6" x14ac:dyDescent="0.25">
      <c r="A84" t="s">
        <v>103</v>
      </c>
      <c r="B84">
        <v>41</v>
      </c>
      <c r="C84">
        <v>68.400000000000006</v>
      </c>
      <c r="F84" t="str">
        <f t="shared" si="1"/>
        <v>Israel</v>
      </c>
    </row>
    <row r="85" spans="1:6" x14ac:dyDescent="0.25">
      <c r="A85" t="s">
        <v>10</v>
      </c>
      <c r="B85">
        <v>73</v>
      </c>
      <c r="C85">
        <v>63.3</v>
      </c>
      <c r="F85" t="str">
        <f t="shared" si="1"/>
        <v>Italia</v>
      </c>
    </row>
    <row r="86" spans="1:6" x14ac:dyDescent="0.25">
      <c r="A86" t="s">
        <v>2</v>
      </c>
      <c r="B86">
        <v>42</v>
      </c>
      <c r="C86">
        <v>68.2</v>
      </c>
      <c r="F86" t="str">
        <f t="shared" si="1"/>
        <v>Jamaica</v>
      </c>
    </row>
    <row r="87" spans="1:6" x14ac:dyDescent="0.25">
      <c r="A87" t="s">
        <v>31</v>
      </c>
      <c r="B87">
        <v>30</v>
      </c>
      <c r="C87">
        <v>70.3</v>
      </c>
      <c r="F87" t="str">
        <f t="shared" si="1"/>
        <v>Japón</v>
      </c>
    </row>
    <row r="88" spans="1:6" x14ac:dyDescent="0.25">
      <c r="A88" t="s">
        <v>89</v>
      </c>
      <c r="B88">
        <v>94</v>
      </c>
      <c r="C88">
        <v>59.3</v>
      </c>
      <c r="F88" t="str">
        <f t="shared" si="1"/>
        <v>Jordania</v>
      </c>
    </row>
    <row r="89" spans="1:6" x14ac:dyDescent="0.25">
      <c r="A89" t="s">
        <v>199</v>
      </c>
      <c r="B89">
        <v>68</v>
      </c>
      <c r="C89">
        <v>64.2</v>
      </c>
      <c r="F89" t="str">
        <f t="shared" si="1"/>
        <v>Kazajistán</v>
      </c>
    </row>
    <row r="90" spans="1:6" x14ac:dyDescent="0.25">
      <c r="A90" t="s">
        <v>165</v>
      </c>
      <c r="B90">
        <v>116</v>
      </c>
      <c r="C90">
        <v>55.5</v>
      </c>
      <c r="F90" t="str">
        <f t="shared" si="1"/>
        <v>Kenia</v>
      </c>
    </row>
    <row r="91" spans="1:6" x14ac:dyDescent="0.25">
      <c r="A91" t="s">
        <v>57</v>
      </c>
      <c r="B91">
        <v>114</v>
      </c>
      <c r="C91">
        <v>56</v>
      </c>
      <c r="F91" t="str">
        <f t="shared" si="1"/>
        <v>Kirguistán</v>
      </c>
    </row>
    <row r="92" spans="1:6" x14ac:dyDescent="0.25">
      <c r="A92" t="s">
        <v>149</v>
      </c>
      <c r="B92">
        <v>142</v>
      </c>
      <c r="C92">
        <v>50.8</v>
      </c>
      <c r="F92" t="str">
        <f t="shared" si="1"/>
        <v>Kiribati</v>
      </c>
    </row>
    <row r="93" spans="1:6" x14ac:dyDescent="0.25">
      <c r="A93" t="s">
        <v>1843</v>
      </c>
      <c r="B93">
        <v>81</v>
      </c>
      <c r="C93">
        <v>62.4</v>
      </c>
      <c r="F93" t="str">
        <f t="shared" si="1"/>
        <v>Kosovo</v>
      </c>
    </row>
    <row r="94" spans="1:6" x14ac:dyDescent="0.25">
      <c r="A94" t="s">
        <v>122</v>
      </c>
      <c r="B94">
        <v>90</v>
      </c>
      <c r="C94">
        <v>59.9</v>
      </c>
      <c r="F94" t="str">
        <f t="shared" si="1"/>
        <v>Kuwait</v>
      </c>
    </row>
    <row r="95" spans="1:6" x14ac:dyDescent="0.25">
      <c r="A95" t="s">
        <v>163</v>
      </c>
      <c r="B95">
        <v>141</v>
      </c>
      <c r="C95">
        <v>50.9</v>
      </c>
      <c r="F95" t="str">
        <f t="shared" si="1"/>
        <v>Laos</v>
      </c>
    </row>
    <row r="96" spans="1:6" x14ac:dyDescent="0.25">
      <c r="A96" t="s">
        <v>39</v>
      </c>
      <c r="B96">
        <v>118</v>
      </c>
      <c r="C96">
        <v>54.9</v>
      </c>
      <c r="F96" t="str">
        <f t="shared" si="1"/>
        <v>Lesoto</v>
      </c>
    </row>
    <row r="97" spans="1:6" x14ac:dyDescent="0.25">
      <c r="A97" t="s">
        <v>71</v>
      </c>
      <c r="B97">
        <v>25</v>
      </c>
      <c r="C97">
        <v>71.599999999999994</v>
      </c>
      <c r="F97" t="str">
        <f t="shared" si="1"/>
        <v>Letonia</v>
      </c>
    </row>
    <row r="98" spans="1:6" x14ac:dyDescent="0.25">
      <c r="A98" t="s">
        <v>142</v>
      </c>
      <c r="B98">
        <v>166</v>
      </c>
      <c r="C98">
        <v>43.1</v>
      </c>
      <c r="F98" t="str">
        <f t="shared" si="1"/>
        <v>Líbano</v>
      </c>
    </row>
    <row r="99" spans="1:6" x14ac:dyDescent="0.25">
      <c r="A99" t="s">
        <v>181</v>
      </c>
      <c r="B99">
        <v>147</v>
      </c>
      <c r="C99">
        <v>49.8</v>
      </c>
      <c r="F99" t="str">
        <f t="shared" si="1"/>
        <v>Liberia</v>
      </c>
    </row>
    <row r="100" spans="1:6" x14ac:dyDescent="0.25">
      <c r="A100" t="s">
        <v>101</v>
      </c>
      <c r="B100">
        <v>15</v>
      </c>
      <c r="C100">
        <v>75.3</v>
      </c>
      <c r="F100" t="str">
        <f t="shared" si="1"/>
        <v>Lituania</v>
      </c>
    </row>
    <row r="101" spans="1:6" x14ac:dyDescent="0.25">
      <c r="A101" t="s">
        <v>16</v>
      </c>
      <c r="B101">
        <v>6</v>
      </c>
      <c r="C101">
        <v>79.7</v>
      </c>
      <c r="F101" t="str">
        <f t="shared" si="1"/>
        <v>Luxemburgo</v>
      </c>
    </row>
    <row r="102" spans="1:6" x14ac:dyDescent="0.25">
      <c r="A102" t="s">
        <v>125</v>
      </c>
      <c r="B102">
        <v>74</v>
      </c>
      <c r="C102">
        <v>63.3</v>
      </c>
      <c r="F102" t="str">
        <f t="shared" si="1"/>
        <v>Macedonia del Norte</v>
      </c>
    </row>
    <row r="103" spans="1:6" x14ac:dyDescent="0.25">
      <c r="A103" t="s">
        <v>100</v>
      </c>
      <c r="B103">
        <v>108</v>
      </c>
      <c r="C103">
        <v>57</v>
      </c>
      <c r="F103" t="str">
        <f t="shared" si="1"/>
        <v>Madagascar</v>
      </c>
    </row>
    <row r="104" spans="1:6" x14ac:dyDescent="0.25">
      <c r="A104" t="s">
        <v>182</v>
      </c>
      <c r="B104">
        <v>45</v>
      </c>
      <c r="C104">
        <v>68</v>
      </c>
      <c r="F104" t="str">
        <f t="shared" si="1"/>
        <v>Malasia</v>
      </c>
    </row>
    <row r="105" spans="1:6" x14ac:dyDescent="0.25">
      <c r="A105" t="s">
        <v>66</v>
      </c>
      <c r="B105">
        <v>143</v>
      </c>
      <c r="C105">
        <v>50.7</v>
      </c>
      <c r="F105" t="str">
        <f t="shared" si="1"/>
        <v>Malaui</v>
      </c>
    </row>
    <row r="106" spans="1:6" x14ac:dyDescent="0.25">
      <c r="A106" t="s">
        <v>176</v>
      </c>
      <c r="B106">
        <v>158</v>
      </c>
      <c r="C106">
        <v>47.6</v>
      </c>
      <c r="F106" t="str">
        <f t="shared" si="1"/>
        <v>Maldivas</v>
      </c>
    </row>
    <row r="107" spans="1:6" x14ac:dyDescent="0.25">
      <c r="A107" t="s">
        <v>1045</v>
      </c>
      <c r="B107">
        <v>135</v>
      </c>
      <c r="C107">
        <v>52.1</v>
      </c>
      <c r="F107" t="str">
        <f t="shared" si="1"/>
        <v>Mali</v>
      </c>
    </row>
    <row r="108" spans="1:6" x14ac:dyDescent="0.25">
      <c r="A108" t="s">
        <v>141</v>
      </c>
      <c r="B108">
        <v>43</v>
      </c>
      <c r="C108">
        <v>68.2</v>
      </c>
      <c r="F108" t="str">
        <f t="shared" si="1"/>
        <v>Malta</v>
      </c>
    </row>
    <row r="109" spans="1:6" x14ac:dyDescent="0.25">
      <c r="A109" t="s">
        <v>167</v>
      </c>
      <c r="B109">
        <v>83</v>
      </c>
      <c r="C109">
        <v>61.8</v>
      </c>
      <c r="F109" t="str">
        <f t="shared" si="1"/>
        <v>Marruecos</v>
      </c>
    </row>
    <row r="110" spans="1:6" x14ac:dyDescent="0.25">
      <c r="A110" t="s">
        <v>114</v>
      </c>
      <c r="B110">
        <v>21</v>
      </c>
      <c r="C110">
        <v>73</v>
      </c>
      <c r="F110" t="str">
        <f t="shared" si="1"/>
        <v>Mauricio</v>
      </c>
    </row>
    <row r="111" spans="1:6" x14ac:dyDescent="0.25">
      <c r="A111" t="s">
        <v>148</v>
      </c>
      <c r="B111">
        <v>123</v>
      </c>
      <c r="C111">
        <v>53.9</v>
      </c>
      <c r="F111" t="str">
        <f t="shared" si="1"/>
        <v>Mauritania</v>
      </c>
    </row>
    <row r="112" spans="1:6" x14ac:dyDescent="0.25">
      <c r="A112" t="s">
        <v>12</v>
      </c>
      <c r="B112">
        <v>92</v>
      </c>
      <c r="C112">
        <v>59.8</v>
      </c>
      <c r="F112" t="str">
        <f t="shared" si="1"/>
        <v>México</v>
      </c>
    </row>
    <row r="113" spans="1:6" x14ac:dyDescent="0.25">
      <c r="A113" t="s">
        <v>79</v>
      </c>
      <c r="B113">
        <v>101</v>
      </c>
      <c r="C113">
        <v>58.1</v>
      </c>
      <c r="F113" t="str">
        <f t="shared" si="1"/>
        <v>Moldavia</v>
      </c>
    </row>
    <row r="114" spans="1:6" x14ac:dyDescent="0.25">
      <c r="A114" t="s">
        <v>203</v>
      </c>
      <c r="B114">
        <v>69</v>
      </c>
      <c r="C114">
        <v>63.9</v>
      </c>
      <c r="F114" t="str">
        <f t="shared" si="1"/>
        <v>Mongolia</v>
      </c>
    </row>
    <row r="115" spans="1:6" x14ac:dyDescent="0.25">
      <c r="A115" t="s">
        <v>90</v>
      </c>
      <c r="B115">
        <v>70</v>
      </c>
      <c r="C115">
        <v>63.8</v>
      </c>
      <c r="F115" t="str">
        <f t="shared" si="1"/>
        <v>Montenegro</v>
      </c>
    </row>
    <row r="116" spans="1:6" x14ac:dyDescent="0.25">
      <c r="A116" t="s">
        <v>9</v>
      </c>
      <c r="B116">
        <v>149</v>
      </c>
      <c r="C116">
        <v>49.6</v>
      </c>
      <c r="F116" t="str">
        <f t="shared" si="1"/>
        <v>Mozambique</v>
      </c>
    </row>
    <row r="117" spans="1:6" x14ac:dyDescent="0.25">
      <c r="A117" t="s">
        <v>80</v>
      </c>
      <c r="B117">
        <v>87</v>
      </c>
      <c r="C117">
        <v>60.2</v>
      </c>
      <c r="F117" t="str">
        <f t="shared" si="1"/>
        <v>Namibia</v>
      </c>
    </row>
    <row r="118" spans="1:6" x14ac:dyDescent="0.25">
      <c r="A118" t="s">
        <v>161</v>
      </c>
      <c r="B118">
        <v>129</v>
      </c>
      <c r="C118">
        <v>52.9</v>
      </c>
      <c r="F118" t="str">
        <f t="shared" si="1"/>
        <v>Nepal</v>
      </c>
    </row>
    <row r="119" spans="1:6" x14ac:dyDescent="0.25">
      <c r="A119" t="s">
        <v>169</v>
      </c>
      <c r="B119">
        <v>125</v>
      </c>
      <c r="C119">
        <v>53.6</v>
      </c>
      <c r="F119" t="str">
        <f t="shared" si="1"/>
        <v>Nicaragua</v>
      </c>
    </row>
    <row r="120" spans="1:6" x14ac:dyDescent="0.25">
      <c r="A120" t="s">
        <v>204</v>
      </c>
      <c r="B120">
        <v>140</v>
      </c>
      <c r="C120">
        <v>51</v>
      </c>
      <c r="F120" t="str">
        <f t="shared" si="1"/>
        <v>Níger</v>
      </c>
    </row>
    <row r="121" spans="1:6" x14ac:dyDescent="0.25">
      <c r="A121" t="s">
        <v>143</v>
      </c>
      <c r="B121">
        <v>119</v>
      </c>
      <c r="C121">
        <v>54.8</v>
      </c>
      <c r="F121" t="str">
        <f t="shared" si="1"/>
        <v>Nigeria</v>
      </c>
    </row>
    <row r="122" spans="1:6" x14ac:dyDescent="0.25">
      <c r="A122" t="s">
        <v>29</v>
      </c>
      <c r="B122">
        <v>8</v>
      </c>
      <c r="C122">
        <v>78.8</v>
      </c>
      <c r="F122" t="str">
        <f t="shared" si="1"/>
        <v>Noruega</v>
      </c>
    </row>
    <row r="123" spans="1:6" x14ac:dyDescent="0.25">
      <c r="A123" t="s">
        <v>4</v>
      </c>
      <c r="B123">
        <v>12</v>
      </c>
      <c r="C123">
        <v>77.8</v>
      </c>
      <c r="F123" t="str">
        <f t="shared" si="1"/>
        <v>Nueva Zelanda</v>
      </c>
    </row>
    <row r="124" spans="1:6" x14ac:dyDescent="0.25">
      <c r="A124" t="s">
        <v>77</v>
      </c>
      <c r="B124">
        <v>39</v>
      </c>
      <c r="C124">
        <v>68.5</v>
      </c>
      <c r="F124" t="str">
        <f t="shared" si="1"/>
        <v>Omán</v>
      </c>
    </row>
    <row r="125" spans="1:6" x14ac:dyDescent="0.25">
      <c r="A125" t="s">
        <v>1854</v>
      </c>
      <c r="B125">
        <v>10</v>
      </c>
      <c r="C125">
        <v>78.5</v>
      </c>
      <c r="F125" t="str">
        <f t="shared" si="1"/>
        <v>PaísesBajos</v>
      </c>
    </row>
    <row r="126" spans="1:6" x14ac:dyDescent="0.25">
      <c r="A126" t="s">
        <v>112</v>
      </c>
      <c r="B126">
        <v>152</v>
      </c>
      <c r="C126">
        <v>48.9</v>
      </c>
      <c r="F126" t="str">
        <f t="shared" si="1"/>
        <v>Pakistán</v>
      </c>
    </row>
    <row r="127" spans="1:6" x14ac:dyDescent="0.25">
      <c r="A127" t="s">
        <v>150</v>
      </c>
      <c r="B127">
        <v>63</v>
      </c>
      <c r="C127">
        <v>64.900000000000006</v>
      </c>
      <c r="F127" t="str">
        <f t="shared" si="1"/>
        <v>Panamá</v>
      </c>
    </row>
    <row r="128" spans="1:6" x14ac:dyDescent="0.25">
      <c r="A128" t="s">
        <v>188</v>
      </c>
      <c r="B128">
        <v>122</v>
      </c>
      <c r="C128">
        <v>54.3</v>
      </c>
      <c r="F128" t="str">
        <f t="shared" si="1"/>
        <v>Papúa Nueva Guinea</v>
      </c>
    </row>
    <row r="129" spans="1:6" x14ac:dyDescent="0.25">
      <c r="A129" t="s">
        <v>195</v>
      </c>
      <c r="B129">
        <v>55</v>
      </c>
      <c r="C129">
        <v>66.400000000000006</v>
      </c>
      <c r="F129" t="str">
        <f t="shared" si="1"/>
        <v>Paraguay</v>
      </c>
    </row>
    <row r="130" spans="1:6" x14ac:dyDescent="0.25">
      <c r="A130" t="s">
        <v>121</v>
      </c>
      <c r="B130">
        <v>56</v>
      </c>
      <c r="C130">
        <v>66.3</v>
      </c>
      <c r="F130" t="str">
        <f t="shared" si="1"/>
        <v>Perú</v>
      </c>
    </row>
    <row r="131" spans="1:6" x14ac:dyDescent="0.25">
      <c r="A131" t="s">
        <v>127</v>
      </c>
      <c r="B131">
        <v>40</v>
      </c>
      <c r="C131">
        <v>68.5</v>
      </c>
      <c r="F131" t="str">
        <f t="shared" ref="F131:F177" si="2">(TRIM(SUBSTITUTE(A131,CHAR(160),"")))</f>
        <v>Polonia</v>
      </c>
    </row>
    <row r="132" spans="1:6" x14ac:dyDescent="0.25">
      <c r="A132" t="s">
        <v>53</v>
      </c>
      <c r="B132">
        <v>27</v>
      </c>
      <c r="C132">
        <v>71.2</v>
      </c>
      <c r="F132" t="str">
        <f t="shared" si="2"/>
        <v>Portugal</v>
      </c>
    </row>
    <row r="133" spans="1:6" x14ac:dyDescent="0.25">
      <c r="A133" t="s">
        <v>38</v>
      </c>
      <c r="B133">
        <v>29</v>
      </c>
      <c r="C133">
        <v>70.400000000000006</v>
      </c>
      <c r="F133" t="str">
        <f t="shared" si="2"/>
        <v>Reino Unido</v>
      </c>
    </row>
    <row r="134" spans="1:6" x14ac:dyDescent="0.25">
      <c r="A134" t="s">
        <v>164</v>
      </c>
      <c r="B134">
        <v>167</v>
      </c>
      <c r="C134">
        <v>43.1</v>
      </c>
      <c r="F134" t="str">
        <f t="shared" si="2"/>
        <v>República Centroafricana</v>
      </c>
    </row>
    <row r="135" spans="1:6" x14ac:dyDescent="0.25">
      <c r="A135" t="s">
        <v>1780</v>
      </c>
      <c r="B135">
        <v>20</v>
      </c>
      <c r="C135">
        <v>73.2</v>
      </c>
      <c r="F135" t="str">
        <f t="shared" si="2"/>
        <v>República Checa</v>
      </c>
    </row>
    <row r="136" spans="1:6" x14ac:dyDescent="0.25">
      <c r="A136" t="s">
        <v>1061</v>
      </c>
      <c r="B136">
        <v>153</v>
      </c>
      <c r="C136">
        <v>48.6</v>
      </c>
      <c r="F136" t="str">
        <f t="shared" si="2"/>
        <v>República del Congo</v>
      </c>
    </row>
    <row r="137" spans="1:6" x14ac:dyDescent="0.25">
      <c r="A137" t="s">
        <v>1062</v>
      </c>
      <c r="B137">
        <v>161</v>
      </c>
      <c r="C137">
        <v>47</v>
      </c>
      <c r="F137" t="str">
        <f t="shared" si="2"/>
        <v>República Democrática del Congo</v>
      </c>
    </row>
    <row r="138" spans="1:6" x14ac:dyDescent="0.25">
      <c r="A138" t="s">
        <v>70</v>
      </c>
      <c r="B138">
        <v>71</v>
      </c>
      <c r="C138">
        <v>63.8</v>
      </c>
      <c r="F138" t="str">
        <f t="shared" si="2"/>
        <v>República Dominicana</v>
      </c>
    </row>
    <row r="139" spans="1:6" x14ac:dyDescent="0.25">
      <c r="A139" t="s">
        <v>205</v>
      </c>
      <c r="B139">
        <v>110</v>
      </c>
      <c r="C139">
        <v>56.5</v>
      </c>
      <c r="F139" t="str">
        <f t="shared" si="2"/>
        <v>Ruanda</v>
      </c>
    </row>
    <row r="140" spans="1:6" x14ac:dyDescent="0.25">
      <c r="A140" t="s">
        <v>17</v>
      </c>
      <c r="B140">
        <v>58</v>
      </c>
      <c r="C140">
        <v>65.400000000000006</v>
      </c>
      <c r="F140" t="str">
        <f t="shared" si="2"/>
        <v>Rumania</v>
      </c>
    </row>
    <row r="141" spans="1:6" x14ac:dyDescent="0.25">
      <c r="A141" t="s">
        <v>25</v>
      </c>
      <c r="B141">
        <v>145</v>
      </c>
      <c r="C141">
        <v>50.3</v>
      </c>
      <c r="F141" t="str">
        <f t="shared" si="2"/>
        <v>Rusia</v>
      </c>
    </row>
    <row r="142" spans="1:6" x14ac:dyDescent="0.25">
      <c r="A142" t="s">
        <v>147</v>
      </c>
      <c r="B142">
        <v>44</v>
      </c>
      <c r="C142">
        <v>68</v>
      </c>
      <c r="F142" t="str">
        <f t="shared" si="2"/>
        <v>Samoa</v>
      </c>
    </row>
    <row r="143" spans="1:6" x14ac:dyDescent="0.25">
      <c r="A143" t="s">
        <v>120</v>
      </c>
      <c r="B143">
        <v>89</v>
      </c>
      <c r="C143">
        <v>60</v>
      </c>
      <c r="F143" t="str">
        <f t="shared" si="2"/>
        <v>San Vicente y las Granadinas</v>
      </c>
    </row>
    <row r="144" spans="1:6" x14ac:dyDescent="0.25">
      <c r="A144" t="s">
        <v>47</v>
      </c>
      <c r="B144">
        <v>50</v>
      </c>
      <c r="C144">
        <v>67.5</v>
      </c>
      <c r="F144" t="str">
        <f t="shared" si="2"/>
        <v>Santa Lucía</v>
      </c>
    </row>
    <row r="145" spans="1:6" x14ac:dyDescent="0.25">
      <c r="A145" t="s">
        <v>67</v>
      </c>
      <c r="B145">
        <v>85</v>
      </c>
      <c r="C145">
        <v>60.6</v>
      </c>
      <c r="F145" t="str">
        <f t="shared" si="2"/>
        <v>Santo Tomé y Príncipe</v>
      </c>
    </row>
    <row r="146" spans="1:6" x14ac:dyDescent="0.25">
      <c r="A146" t="s">
        <v>214</v>
      </c>
      <c r="B146">
        <v>126</v>
      </c>
      <c r="C146">
        <v>53.2</v>
      </c>
      <c r="F146" t="str">
        <f t="shared" si="2"/>
        <v>Senegal</v>
      </c>
    </row>
    <row r="147" spans="1:6" x14ac:dyDescent="0.25">
      <c r="A147" t="s">
        <v>64</v>
      </c>
      <c r="B147">
        <v>62</v>
      </c>
      <c r="C147">
        <v>65</v>
      </c>
      <c r="F147" t="str">
        <f t="shared" si="2"/>
        <v>Serbia</v>
      </c>
    </row>
    <row r="148" spans="1:6" x14ac:dyDescent="0.25">
      <c r="A148" t="s">
        <v>178</v>
      </c>
      <c r="B148">
        <v>54</v>
      </c>
      <c r="C148">
        <v>66.5</v>
      </c>
      <c r="F148" t="str">
        <f t="shared" si="2"/>
        <v>Seychelles</v>
      </c>
    </row>
    <row r="149" spans="1:6" x14ac:dyDescent="0.25">
      <c r="A149" t="s">
        <v>153</v>
      </c>
      <c r="B149">
        <v>148</v>
      </c>
      <c r="C149">
        <v>49.6</v>
      </c>
      <c r="F149" t="str">
        <f t="shared" si="2"/>
        <v>Sierra Leona</v>
      </c>
    </row>
    <row r="150" spans="1:6" x14ac:dyDescent="0.25">
      <c r="A150" t="s">
        <v>175</v>
      </c>
      <c r="B150">
        <v>1</v>
      </c>
      <c r="C150">
        <v>84.4</v>
      </c>
      <c r="F150" t="str">
        <f t="shared" si="2"/>
        <v>Singapur</v>
      </c>
    </row>
    <row r="151" spans="1:6" x14ac:dyDescent="0.25">
      <c r="A151" t="s">
        <v>174</v>
      </c>
      <c r="B151">
        <v>144</v>
      </c>
      <c r="C151">
        <v>50.3</v>
      </c>
      <c r="F151" t="str">
        <f t="shared" si="2"/>
        <v>Sri Lanka</v>
      </c>
    </row>
    <row r="152" spans="1:6" x14ac:dyDescent="0.25">
      <c r="A152" t="s">
        <v>1855</v>
      </c>
      <c r="B152">
        <v>104</v>
      </c>
      <c r="C152">
        <v>57.5</v>
      </c>
      <c r="F152" t="str">
        <f t="shared" si="2"/>
        <v>Suazilandia</v>
      </c>
    </row>
    <row r="153" spans="1:6" x14ac:dyDescent="0.25">
      <c r="A153" t="s">
        <v>30</v>
      </c>
      <c r="B153">
        <v>100</v>
      </c>
      <c r="C153">
        <v>58.6</v>
      </c>
      <c r="F153" t="str">
        <f t="shared" si="2"/>
        <v>Sudáfrica</v>
      </c>
    </row>
    <row r="154" spans="1:6" x14ac:dyDescent="0.25">
      <c r="A154" t="s">
        <v>119</v>
      </c>
      <c r="B154">
        <v>173</v>
      </c>
      <c r="C154">
        <v>32.5</v>
      </c>
      <c r="F154" t="str">
        <f t="shared" si="2"/>
        <v>Sudán</v>
      </c>
    </row>
    <row r="155" spans="1:6" x14ac:dyDescent="0.25">
      <c r="A155" t="s">
        <v>46</v>
      </c>
      <c r="B155">
        <v>11</v>
      </c>
      <c r="C155">
        <v>77.8</v>
      </c>
      <c r="F155" t="str">
        <f t="shared" si="2"/>
        <v>Suecia</v>
      </c>
    </row>
    <row r="156" spans="1:6" x14ac:dyDescent="0.25">
      <c r="A156" t="s">
        <v>35</v>
      </c>
      <c r="B156">
        <v>2</v>
      </c>
      <c r="C156">
        <v>83.7</v>
      </c>
      <c r="F156" t="str">
        <f t="shared" si="2"/>
        <v>Suiza</v>
      </c>
    </row>
    <row r="157" spans="1:6" x14ac:dyDescent="0.25">
      <c r="A157" t="s">
        <v>43</v>
      </c>
      <c r="B157">
        <v>128</v>
      </c>
      <c r="C157">
        <v>53</v>
      </c>
      <c r="F157" t="str">
        <f t="shared" si="2"/>
        <v>Surinam</v>
      </c>
    </row>
    <row r="158" spans="1:6" x14ac:dyDescent="0.25">
      <c r="A158" t="s">
        <v>78</v>
      </c>
      <c r="B158">
        <v>82</v>
      </c>
      <c r="C158">
        <v>62.2</v>
      </c>
      <c r="F158" t="str">
        <f t="shared" si="2"/>
        <v>Tailandia</v>
      </c>
    </row>
    <row r="159" spans="1:6" x14ac:dyDescent="0.25">
      <c r="A159" t="s">
        <v>217</v>
      </c>
      <c r="B159">
        <v>5</v>
      </c>
      <c r="C159">
        <v>79.8</v>
      </c>
      <c r="F159" t="str">
        <f t="shared" si="2"/>
        <v>Taiwán</v>
      </c>
    </row>
    <row r="160" spans="1:6" x14ac:dyDescent="0.25">
      <c r="A160" t="s">
        <v>191</v>
      </c>
      <c r="B160">
        <v>96</v>
      </c>
      <c r="C160">
        <v>59</v>
      </c>
      <c r="F160" t="str">
        <f t="shared" si="2"/>
        <v>Tanzania</v>
      </c>
    </row>
    <row r="161" spans="1:6" x14ac:dyDescent="0.25">
      <c r="A161" t="s">
        <v>216</v>
      </c>
      <c r="B161">
        <v>131</v>
      </c>
      <c r="C161">
        <v>52.5</v>
      </c>
      <c r="F161" t="str">
        <f t="shared" si="2"/>
        <v>Tayikistán</v>
      </c>
    </row>
    <row r="162" spans="1:6" x14ac:dyDescent="0.25">
      <c r="A162" t="s">
        <v>158</v>
      </c>
      <c r="B162">
        <v>157</v>
      </c>
      <c r="C162">
        <v>47.9</v>
      </c>
      <c r="F162" t="str">
        <f t="shared" si="2"/>
        <v>Timor Oriental</v>
      </c>
    </row>
    <row r="163" spans="1:6" x14ac:dyDescent="0.25">
      <c r="A163" t="s">
        <v>192</v>
      </c>
      <c r="B163">
        <v>138</v>
      </c>
      <c r="C163">
        <v>51.6</v>
      </c>
      <c r="F163" t="str">
        <f t="shared" si="2"/>
        <v>Togo</v>
      </c>
    </row>
    <row r="164" spans="1:6" x14ac:dyDescent="0.25">
      <c r="A164" t="s">
        <v>99</v>
      </c>
      <c r="B164">
        <v>97</v>
      </c>
      <c r="C164">
        <v>58.9</v>
      </c>
      <c r="F164" t="str">
        <f t="shared" si="2"/>
        <v>Tonga</v>
      </c>
    </row>
    <row r="165" spans="1:6" x14ac:dyDescent="0.25">
      <c r="A165" t="s">
        <v>18</v>
      </c>
      <c r="B165">
        <v>80</v>
      </c>
      <c r="C165">
        <v>62.4</v>
      </c>
      <c r="F165" t="str">
        <f t="shared" si="2"/>
        <v>Trinidad y Tobago</v>
      </c>
    </row>
    <row r="166" spans="1:6" x14ac:dyDescent="0.25">
      <c r="A166" t="s">
        <v>83</v>
      </c>
      <c r="B166">
        <v>156</v>
      </c>
      <c r="C166">
        <v>48.1</v>
      </c>
      <c r="F166" t="str">
        <f t="shared" si="2"/>
        <v>Túnez</v>
      </c>
    </row>
    <row r="167" spans="1:6" x14ac:dyDescent="0.25">
      <c r="A167" t="s">
        <v>128</v>
      </c>
      <c r="B167">
        <v>160</v>
      </c>
      <c r="C167">
        <v>47</v>
      </c>
      <c r="F167" t="str">
        <f t="shared" si="2"/>
        <v>Turkmenistán</v>
      </c>
    </row>
    <row r="168" spans="1:6" x14ac:dyDescent="0.25">
      <c r="A168" t="s">
        <v>129</v>
      </c>
      <c r="B168">
        <v>117</v>
      </c>
      <c r="C168">
        <v>55</v>
      </c>
      <c r="F168" t="str">
        <f t="shared" si="2"/>
        <v>Turquía</v>
      </c>
    </row>
    <row r="169" spans="1:6" x14ac:dyDescent="0.25">
      <c r="A169" t="s">
        <v>202</v>
      </c>
      <c r="B169">
        <v>133</v>
      </c>
      <c r="C169">
        <v>52.4</v>
      </c>
      <c r="F169" t="str">
        <f t="shared" si="2"/>
        <v>Uganda</v>
      </c>
    </row>
    <row r="170" spans="1:6" x14ac:dyDescent="0.25">
      <c r="A170" t="s">
        <v>50</v>
      </c>
      <c r="B170">
        <v>32</v>
      </c>
      <c r="C170">
        <v>69.8</v>
      </c>
      <c r="F170" t="str">
        <f t="shared" si="2"/>
        <v>Uruguay</v>
      </c>
    </row>
    <row r="171" spans="1:6" x14ac:dyDescent="0.25">
      <c r="A171" t="s">
        <v>213</v>
      </c>
      <c r="B171">
        <v>86</v>
      </c>
      <c r="C171">
        <v>60.3</v>
      </c>
      <c r="F171" t="str">
        <f t="shared" si="2"/>
        <v>Uzbekistán</v>
      </c>
    </row>
    <row r="172" spans="1:6" x14ac:dyDescent="0.25">
      <c r="A172" t="s">
        <v>109</v>
      </c>
      <c r="B172">
        <v>84</v>
      </c>
      <c r="C172">
        <v>61.1</v>
      </c>
      <c r="F172" t="str">
        <f t="shared" si="2"/>
        <v>Vanuatu</v>
      </c>
    </row>
    <row r="173" spans="1:6" x14ac:dyDescent="0.25">
      <c r="A173" t="s">
        <v>45</v>
      </c>
      <c r="B173">
        <v>174</v>
      </c>
      <c r="C173">
        <v>27.3</v>
      </c>
      <c r="F173" t="str">
        <f t="shared" si="2"/>
        <v>Venezuela</v>
      </c>
    </row>
    <row r="174" spans="1:6" x14ac:dyDescent="0.25">
      <c r="A174" t="s">
        <v>215</v>
      </c>
      <c r="B174">
        <v>66</v>
      </c>
      <c r="C174">
        <v>64.400000000000006</v>
      </c>
      <c r="F174" t="str">
        <f t="shared" si="2"/>
        <v>Vietnam</v>
      </c>
    </row>
    <row r="175" spans="1:6" x14ac:dyDescent="0.25">
      <c r="A175" t="s">
        <v>196</v>
      </c>
      <c r="B175">
        <v>111</v>
      </c>
      <c r="C175">
        <v>56.3</v>
      </c>
      <c r="F175" t="str">
        <f t="shared" si="2"/>
        <v>Yibuti</v>
      </c>
    </row>
    <row r="176" spans="1:6" x14ac:dyDescent="0.25">
      <c r="A176" t="s">
        <v>135</v>
      </c>
      <c r="B176">
        <v>137</v>
      </c>
      <c r="C176">
        <v>51.9</v>
      </c>
      <c r="F176" t="str">
        <f t="shared" si="2"/>
        <v>Zambia</v>
      </c>
    </row>
    <row r="177" spans="1:6" x14ac:dyDescent="0.25">
      <c r="A177" t="s">
        <v>211</v>
      </c>
      <c r="B177">
        <v>172</v>
      </c>
      <c r="C177">
        <v>35.200000000000003</v>
      </c>
      <c r="F177" t="str">
        <f t="shared" si="2"/>
        <v>Zimbabue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2A8E-05EE-4082-B8C1-4DE7977670F5}">
  <dimension ref="A1:D219"/>
  <sheetViews>
    <sheetView workbookViewId="0">
      <selection activeCell="E18" sqref="E18"/>
    </sheetView>
  </sheetViews>
  <sheetFormatPr baseColWidth="10" defaultRowHeight="15" x14ac:dyDescent="0.25"/>
  <cols>
    <col min="1" max="4" width="21.140625" customWidth="1"/>
  </cols>
  <sheetData>
    <row r="1" spans="1:4" x14ac:dyDescent="0.25">
      <c r="A1" t="s">
        <v>0</v>
      </c>
      <c r="B1" t="s">
        <v>222</v>
      </c>
      <c r="C1" t="s">
        <v>223</v>
      </c>
      <c r="D1" t="s">
        <v>224</v>
      </c>
    </row>
    <row r="2" spans="1:4" x14ac:dyDescent="0.25">
      <c r="A2" t="s">
        <v>105</v>
      </c>
      <c r="B2" t="s">
        <v>421</v>
      </c>
      <c r="C2" t="s">
        <v>422</v>
      </c>
      <c r="D2">
        <v>448</v>
      </c>
    </row>
    <row r="3" spans="1:4" x14ac:dyDescent="0.25">
      <c r="A3" t="s">
        <v>133</v>
      </c>
      <c r="B3" t="s">
        <v>471</v>
      </c>
      <c r="C3" t="s">
        <v>472</v>
      </c>
      <c r="D3">
        <v>11.234999999999999</v>
      </c>
    </row>
    <row r="4" spans="1:4" x14ac:dyDescent="0.25">
      <c r="A4" t="s">
        <v>5</v>
      </c>
      <c r="B4" t="s">
        <v>233</v>
      </c>
      <c r="C4" t="s">
        <v>234</v>
      </c>
      <c r="D4">
        <v>60.439</v>
      </c>
    </row>
    <row r="5" spans="1:4" x14ac:dyDescent="0.25">
      <c r="A5" t="s">
        <v>139</v>
      </c>
      <c r="B5" t="s">
        <v>483</v>
      </c>
      <c r="C5" t="s">
        <v>484</v>
      </c>
      <c r="D5">
        <v>50.378999999999998</v>
      </c>
    </row>
    <row r="6" spans="1:4" x14ac:dyDescent="0.25">
      <c r="A6" t="s">
        <v>116</v>
      </c>
      <c r="B6" t="s">
        <v>440</v>
      </c>
      <c r="C6" t="s">
        <v>441</v>
      </c>
      <c r="D6">
        <v>3.6139999999999999</v>
      </c>
    </row>
    <row r="7" spans="1:4" x14ac:dyDescent="0.25">
      <c r="A7" t="s">
        <v>81</v>
      </c>
      <c r="B7" t="s">
        <v>378</v>
      </c>
      <c r="C7" t="s">
        <v>379</v>
      </c>
      <c r="D7">
        <v>28.85</v>
      </c>
    </row>
    <row r="8" spans="1:4" x14ac:dyDescent="0.25">
      <c r="A8" t="s">
        <v>108</v>
      </c>
      <c r="B8" t="s">
        <v>425</v>
      </c>
      <c r="C8" t="s">
        <v>426</v>
      </c>
      <c r="D8">
        <v>21.675999999999998</v>
      </c>
    </row>
    <row r="9" spans="1:4" x14ac:dyDescent="0.25">
      <c r="A9" t="s">
        <v>157</v>
      </c>
      <c r="B9" t="s">
        <v>517</v>
      </c>
      <c r="C9" t="s">
        <v>518</v>
      </c>
      <c r="D9">
        <v>35.463999999999999</v>
      </c>
    </row>
    <row r="10" spans="1:4" x14ac:dyDescent="0.25">
      <c r="A10" t="s">
        <v>138</v>
      </c>
      <c r="B10" t="s">
        <v>481</v>
      </c>
      <c r="C10" t="s">
        <v>482</v>
      </c>
      <c r="D10">
        <v>6.0469999999999997</v>
      </c>
    </row>
    <row r="11" spans="1:4" x14ac:dyDescent="0.25">
      <c r="A11" t="s">
        <v>152</v>
      </c>
      <c r="B11" t="s">
        <v>507</v>
      </c>
      <c r="C11" t="s">
        <v>508</v>
      </c>
      <c r="D11">
        <v>14.355</v>
      </c>
    </row>
    <row r="12" spans="1:4" x14ac:dyDescent="0.25">
      <c r="A12" t="s">
        <v>207</v>
      </c>
      <c r="B12" t="s">
        <v>609</v>
      </c>
      <c r="C12" t="s">
        <v>610</v>
      </c>
      <c r="D12">
        <v>9.5210000000000008</v>
      </c>
    </row>
    <row r="13" spans="1:4" x14ac:dyDescent="0.25">
      <c r="A13" t="s">
        <v>185</v>
      </c>
      <c r="B13" t="s">
        <v>569</v>
      </c>
      <c r="C13" t="s">
        <v>570</v>
      </c>
      <c r="D13">
        <v>41.462000000000003</v>
      </c>
    </row>
    <row r="14" spans="1:4" x14ac:dyDescent="0.25">
      <c r="A14" t="s">
        <v>56</v>
      </c>
      <c r="B14" t="s">
        <v>330</v>
      </c>
      <c r="C14" t="s">
        <v>331</v>
      </c>
      <c r="D14">
        <v>66.352000000000004</v>
      </c>
    </row>
    <row r="15" spans="1:4" x14ac:dyDescent="0.25">
      <c r="A15" t="s">
        <v>15</v>
      </c>
      <c r="B15" t="s">
        <v>252</v>
      </c>
      <c r="C15" t="s">
        <v>253</v>
      </c>
      <c r="D15">
        <v>63.161000000000001</v>
      </c>
    </row>
    <row r="16" spans="1:4" x14ac:dyDescent="0.25">
      <c r="A16" t="s">
        <v>40</v>
      </c>
      <c r="B16" t="s">
        <v>301</v>
      </c>
      <c r="C16" t="s">
        <v>302</v>
      </c>
      <c r="D16">
        <v>7.3220000000000001</v>
      </c>
    </row>
    <row r="17" spans="1:4" x14ac:dyDescent="0.25">
      <c r="A17" t="s">
        <v>96</v>
      </c>
      <c r="B17" t="s">
        <v>406</v>
      </c>
      <c r="C17" t="s">
        <v>407</v>
      </c>
      <c r="D17">
        <v>40.005000000000003</v>
      </c>
    </row>
    <row r="18" spans="1:4" x14ac:dyDescent="0.25">
      <c r="A18" t="s">
        <v>123</v>
      </c>
      <c r="B18" t="s">
        <v>454</v>
      </c>
      <c r="C18" t="s">
        <v>455</v>
      </c>
      <c r="D18">
        <v>2.6360000000000001</v>
      </c>
    </row>
    <row r="19" spans="1:4" x14ac:dyDescent="0.25">
      <c r="A19" t="s">
        <v>92</v>
      </c>
      <c r="B19" t="s">
        <v>398</v>
      </c>
      <c r="C19" t="s">
        <v>399</v>
      </c>
      <c r="D19">
        <v>27.494</v>
      </c>
    </row>
    <row r="20" spans="1:4" x14ac:dyDescent="0.25">
      <c r="A20" t="s">
        <v>115</v>
      </c>
      <c r="B20" t="s">
        <v>438</v>
      </c>
      <c r="C20" t="s">
        <v>439</v>
      </c>
      <c r="D20">
        <v>29.344000000000001</v>
      </c>
    </row>
    <row r="21" spans="1:4" x14ac:dyDescent="0.25">
      <c r="A21" t="s">
        <v>24</v>
      </c>
      <c r="B21" t="s">
        <v>270</v>
      </c>
      <c r="C21" t="s">
        <v>271</v>
      </c>
      <c r="D21">
        <v>61.002000000000002</v>
      </c>
    </row>
    <row r="22" spans="1:4" x14ac:dyDescent="0.25">
      <c r="A22" t="s">
        <v>93</v>
      </c>
      <c r="B22" t="s">
        <v>400</v>
      </c>
      <c r="C22" t="s">
        <v>401</v>
      </c>
      <c r="D22">
        <v>7.968</v>
      </c>
    </row>
    <row r="23" spans="1:4" x14ac:dyDescent="0.25">
      <c r="A23" t="s">
        <v>210</v>
      </c>
      <c r="B23" t="s">
        <v>615</v>
      </c>
      <c r="C23" t="s">
        <v>616</v>
      </c>
      <c r="D23">
        <v>1.6339999999999999</v>
      </c>
    </row>
    <row r="24" spans="1:4" x14ac:dyDescent="0.25">
      <c r="A24" t="s">
        <v>68</v>
      </c>
      <c r="B24" t="s">
        <v>354</v>
      </c>
      <c r="C24" t="s">
        <v>355</v>
      </c>
      <c r="D24">
        <v>138.935</v>
      </c>
    </row>
    <row r="25" spans="1:4" x14ac:dyDescent="0.25">
      <c r="A25" t="s">
        <v>34</v>
      </c>
      <c r="B25" t="s">
        <v>289</v>
      </c>
      <c r="C25" t="s">
        <v>290</v>
      </c>
      <c r="D25">
        <v>10.209</v>
      </c>
    </row>
    <row r="26" spans="1:4" x14ac:dyDescent="0.25">
      <c r="A26" t="s">
        <v>32</v>
      </c>
      <c r="B26" t="s">
        <v>285</v>
      </c>
      <c r="C26" t="s">
        <v>286</v>
      </c>
      <c r="D26">
        <v>5.1070000000000002</v>
      </c>
    </row>
    <row r="27" spans="1:4" x14ac:dyDescent="0.25">
      <c r="A27" t="s">
        <v>63</v>
      </c>
      <c r="B27" t="s">
        <v>344</v>
      </c>
      <c r="C27" t="s">
        <v>345</v>
      </c>
      <c r="D27">
        <v>9.5679999999999996</v>
      </c>
    </row>
    <row r="28" spans="1:4" x14ac:dyDescent="0.25">
      <c r="A28" t="s">
        <v>22</v>
      </c>
      <c r="B28" t="s">
        <v>266</v>
      </c>
      <c r="C28" t="s">
        <v>267</v>
      </c>
      <c r="D28">
        <v>7.6619999999999999</v>
      </c>
    </row>
    <row r="29" spans="1:4" x14ac:dyDescent="0.25">
      <c r="A29" t="s">
        <v>74</v>
      </c>
      <c r="B29" t="s">
        <v>365</v>
      </c>
      <c r="C29" t="s">
        <v>366</v>
      </c>
      <c r="D29">
        <v>10.686</v>
      </c>
    </row>
    <row r="30" spans="1:4" x14ac:dyDescent="0.25">
      <c r="A30" t="s">
        <v>14</v>
      </c>
      <c r="B30" t="s">
        <v>250</v>
      </c>
      <c r="C30" t="s">
        <v>251</v>
      </c>
      <c r="D30">
        <v>34.677999999999997</v>
      </c>
    </row>
    <row r="31" spans="1:4" x14ac:dyDescent="0.25">
      <c r="A31" t="s">
        <v>113</v>
      </c>
      <c r="B31" t="s">
        <v>435</v>
      </c>
      <c r="C31" t="s">
        <v>436</v>
      </c>
      <c r="D31">
        <v>20.920999999999999</v>
      </c>
    </row>
    <row r="32" spans="1:4" x14ac:dyDescent="0.25">
      <c r="A32" t="s">
        <v>172</v>
      </c>
      <c r="B32" t="s">
        <v>544</v>
      </c>
      <c r="C32" t="s">
        <v>545</v>
      </c>
      <c r="D32">
        <v>1.1259999999999999</v>
      </c>
    </row>
    <row r="33" spans="1:4" x14ac:dyDescent="0.25">
      <c r="A33" t="s">
        <v>140</v>
      </c>
      <c r="B33" t="s">
        <v>485</v>
      </c>
      <c r="C33" t="s">
        <v>484</v>
      </c>
      <c r="D33">
        <v>478</v>
      </c>
    </row>
    <row r="34" spans="1:4" x14ac:dyDescent="0.25">
      <c r="A34" t="s">
        <v>206</v>
      </c>
      <c r="B34" t="s">
        <v>607</v>
      </c>
      <c r="C34" t="s">
        <v>608</v>
      </c>
      <c r="D34">
        <v>4.3940000000000001</v>
      </c>
    </row>
    <row r="35" spans="1:4" x14ac:dyDescent="0.25">
      <c r="A35" t="s">
        <v>184</v>
      </c>
      <c r="B35" t="s">
        <v>567</v>
      </c>
      <c r="C35" t="s">
        <v>568</v>
      </c>
      <c r="D35">
        <v>5.9950000000000001</v>
      </c>
    </row>
    <row r="36" spans="1:4" x14ac:dyDescent="0.25">
      <c r="A36" t="s">
        <v>173</v>
      </c>
      <c r="B36" t="s">
        <v>546</v>
      </c>
      <c r="C36" t="s">
        <v>547</v>
      </c>
      <c r="D36">
        <v>2.762</v>
      </c>
    </row>
    <row r="37" spans="1:4" x14ac:dyDescent="0.25">
      <c r="A37" t="s">
        <v>111</v>
      </c>
      <c r="B37" t="s">
        <v>431</v>
      </c>
      <c r="C37" t="s">
        <v>432</v>
      </c>
      <c r="D37">
        <v>1.984</v>
      </c>
    </row>
    <row r="38" spans="1:4" x14ac:dyDescent="0.25">
      <c r="A38" t="s">
        <v>48</v>
      </c>
      <c r="B38" t="s">
        <v>316</v>
      </c>
      <c r="C38" t="s">
        <v>317</v>
      </c>
      <c r="D38">
        <v>55.765000000000001</v>
      </c>
    </row>
    <row r="39" spans="1:4" x14ac:dyDescent="0.25">
      <c r="A39" t="s">
        <v>97</v>
      </c>
      <c r="B39" t="s">
        <v>408</v>
      </c>
      <c r="C39" t="s">
        <v>407</v>
      </c>
      <c r="D39">
        <v>69.680000000000007</v>
      </c>
    </row>
    <row r="40" spans="1:4" x14ac:dyDescent="0.25">
      <c r="A40" t="s">
        <v>186</v>
      </c>
      <c r="B40" t="s">
        <v>571</v>
      </c>
      <c r="C40" t="s">
        <v>570</v>
      </c>
      <c r="D40">
        <v>1.165</v>
      </c>
    </row>
    <row r="41" spans="1:4" x14ac:dyDescent="0.25">
      <c r="A41" t="s">
        <v>75</v>
      </c>
      <c r="B41" t="s">
        <v>367</v>
      </c>
      <c r="C41" t="s">
        <v>366</v>
      </c>
      <c r="D41">
        <v>17.734999999999999</v>
      </c>
    </row>
    <row r="42" spans="1:4" x14ac:dyDescent="0.25">
      <c r="A42" t="s">
        <v>170</v>
      </c>
      <c r="B42" t="s">
        <v>540</v>
      </c>
      <c r="C42" t="s">
        <v>541</v>
      </c>
      <c r="D42">
        <v>13.968</v>
      </c>
    </row>
    <row r="43" spans="1:4" x14ac:dyDescent="0.25">
      <c r="A43" t="s">
        <v>136</v>
      </c>
      <c r="B43" t="s">
        <v>477</v>
      </c>
      <c r="C43" t="s">
        <v>478</v>
      </c>
      <c r="D43">
        <v>41.73</v>
      </c>
    </row>
    <row r="44" spans="1:4" x14ac:dyDescent="0.25">
      <c r="A44" t="s">
        <v>87</v>
      </c>
      <c r="B44" t="s">
        <v>389</v>
      </c>
      <c r="C44" t="s">
        <v>390</v>
      </c>
      <c r="D44">
        <v>8.6229999999999993</v>
      </c>
    </row>
    <row r="45" spans="1:4" x14ac:dyDescent="0.25">
      <c r="A45" t="s">
        <v>137</v>
      </c>
      <c r="B45" t="s">
        <v>479</v>
      </c>
      <c r="C45" t="s">
        <v>480</v>
      </c>
      <c r="D45">
        <v>1.7689999999999999</v>
      </c>
    </row>
    <row r="46" spans="1:4" x14ac:dyDescent="0.25">
      <c r="A46" t="s">
        <v>76</v>
      </c>
      <c r="B46" t="s">
        <v>368</v>
      </c>
      <c r="C46" t="s">
        <v>369</v>
      </c>
      <c r="D46">
        <v>2.4039999999999999</v>
      </c>
    </row>
    <row r="47" spans="1:4" x14ac:dyDescent="0.25">
      <c r="A47" t="s">
        <v>110</v>
      </c>
      <c r="B47" t="s">
        <v>429</v>
      </c>
      <c r="C47" t="s">
        <v>430</v>
      </c>
      <c r="D47">
        <v>640</v>
      </c>
    </row>
    <row r="48" spans="1:4" x14ac:dyDescent="0.25">
      <c r="A48" t="s">
        <v>26</v>
      </c>
      <c r="B48" t="s">
        <v>274</v>
      </c>
      <c r="C48" t="s">
        <v>275</v>
      </c>
      <c r="D48">
        <v>36.226999999999997</v>
      </c>
    </row>
    <row r="49" spans="1:4" x14ac:dyDescent="0.25">
      <c r="A49" t="s">
        <v>200</v>
      </c>
      <c r="B49" t="s">
        <v>595</v>
      </c>
      <c r="C49" t="s">
        <v>596</v>
      </c>
      <c r="D49">
        <v>3.0059999999999998</v>
      </c>
    </row>
    <row r="50" spans="1:4" x14ac:dyDescent="0.25">
      <c r="A50" t="s">
        <v>160</v>
      </c>
      <c r="B50" t="s">
        <v>522</v>
      </c>
      <c r="C50" t="s">
        <v>523</v>
      </c>
      <c r="D50">
        <v>19.161999999999999</v>
      </c>
    </row>
    <row r="51" spans="1:4" x14ac:dyDescent="0.25">
      <c r="A51" t="s">
        <v>117</v>
      </c>
      <c r="B51" t="s">
        <v>442</v>
      </c>
      <c r="C51" t="s">
        <v>443</v>
      </c>
      <c r="D51">
        <v>27.376000000000001</v>
      </c>
    </row>
    <row r="52" spans="1:4" x14ac:dyDescent="0.25">
      <c r="A52" t="s">
        <v>54</v>
      </c>
      <c r="B52" t="s">
        <v>326</v>
      </c>
      <c r="C52" t="s">
        <v>327</v>
      </c>
      <c r="D52">
        <v>18.329000000000001</v>
      </c>
    </row>
    <row r="53" spans="1:4" x14ac:dyDescent="0.25">
      <c r="A53" t="s">
        <v>146</v>
      </c>
      <c r="B53" t="s">
        <v>496</v>
      </c>
      <c r="C53" t="s">
        <v>497</v>
      </c>
      <c r="D53">
        <v>21.062000000000001</v>
      </c>
    </row>
    <row r="54" spans="1:4" x14ac:dyDescent="0.25">
      <c r="A54" t="s">
        <v>102</v>
      </c>
      <c r="B54" t="s">
        <v>415</v>
      </c>
      <c r="C54" t="s">
        <v>416</v>
      </c>
      <c r="D54">
        <v>77.046000000000006</v>
      </c>
    </row>
    <row r="55" spans="1:4" x14ac:dyDescent="0.25">
      <c r="A55" t="s">
        <v>159</v>
      </c>
      <c r="B55" t="s">
        <v>520</v>
      </c>
      <c r="C55" t="s">
        <v>521</v>
      </c>
      <c r="D55">
        <v>9.8949999999999996</v>
      </c>
    </row>
    <row r="56" spans="1:4" x14ac:dyDescent="0.25">
      <c r="A56" t="s">
        <v>134</v>
      </c>
      <c r="B56" t="s">
        <v>473</v>
      </c>
      <c r="C56" t="s">
        <v>474</v>
      </c>
      <c r="D56">
        <v>7.1989999999999998</v>
      </c>
    </row>
    <row r="57" spans="1:4" x14ac:dyDescent="0.25">
      <c r="A57" t="s">
        <v>154</v>
      </c>
      <c r="B57" t="s">
        <v>511</v>
      </c>
      <c r="C57" t="s">
        <v>512</v>
      </c>
      <c r="D57">
        <v>3.379</v>
      </c>
    </row>
    <row r="58" spans="1:4" x14ac:dyDescent="0.25">
      <c r="A58" t="s">
        <v>131</v>
      </c>
      <c r="B58" t="s">
        <v>468</v>
      </c>
      <c r="C58" t="s">
        <v>469</v>
      </c>
      <c r="D58">
        <v>5.8390000000000004</v>
      </c>
    </row>
    <row r="59" spans="1:4" x14ac:dyDescent="0.25">
      <c r="A59" t="s">
        <v>190</v>
      </c>
      <c r="B59" t="s">
        <v>577</v>
      </c>
      <c r="C59" t="s">
        <v>578</v>
      </c>
      <c r="D59">
        <v>50.231999999999999</v>
      </c>
    </row>
    <row r="60" spans="1:4" x14ac:dyDescent="0.25">
      <c r="A60" t="s">
        <v>98</v>
      </c>
      <c r="B60" t="s">
        <v>409</v>
      </c>
      <c r="C60" t="s">
        <v>407</v>
      </c>
      <c r="D60">
        <v>656</v>
      </c>
    </row>
    <row r="61" spans="1:4" x14ac:dyDescent="0.25">
      <c r="A61" t="s">
        <v>20</v>
      </c>
      <c r="B61" t="s">
        <v>262</v>
      </c>
      <c r="C61" t="s">
        <v>263</v>
      </c>
      <c r="D61">
        <v>28.498000000000001</v>
      </c>
    </row>
    <row r="62" spans="1:4" x14ac:dyDescent="0.25">
      <c r="A62" t="s">
        <v>27</v>
      </c>
      <c r="B62" t="s">
        <v>276</v>
      </c>
      <c r="C62" t="s">
        <v>277</v>
      </c>
      <c r="D62">
        <v>37.356999999999999</v>
      </c>
    </row>
    <row r="63" spans="1:4" x14ac:dyDescent="0.25">
      <c r="A63" t="s">
        <v>95</v>
      </c>
      <c r="B63" t="s">
        <v>404</v>
      </c>
      <c r="C63" t="s">
        <v>405</v>
      </c>
      <c r="D63">
        <v>38.29</v>
      </c>
    </row>
    <row r="64" spans="1:4" x14ac:dyDescent="0.25">
      <c r="A64" t="s">
        <v>104</v>
      </c>
      <c r="B64" t="s">
        <v>419</v>
      </c>
      <c r="C64" t="s">
        <v>420</v>
      </c>
      <c r="D64">
        <v>2.4430000000000001</v>
      </c>
    </row>
    <row r="65" spans="1:4" x14ac:dyDescent="0.25">
      <c r="A65" t="s">
        <v>69</v>
      </c>
      <c r="B65" t="s">
        <v>356</v>
      </c>
      <c r="C65" t="s">
        <v>357</v>
      </c>
      <c r="D65">
        <v>89.991</v>
      </c>
    </row>
    <row r="66" spans="1:4" x14ac:dyDescent="0.25">
      <c r="A66" t="s">
        <v>13</v>
      </c>
      <c r="B66" t="s">
        <v>248</v>
      </c>
      <c r="C66" t="s">
        <v>249</v>
      </c>
      <c r="D66">
        <v>34.325000000000003</v>
      </c>
    </row>
    <row r="67" spans="1:4" x14ac:dyDescent="0.25">
      <c r="A67" t="s">
        <v>130</v>
      </c>
      <c r="B67" t="s">
        <v>466</v>
      </c>
      <c r="C67" t="s">
        <v>467</v>
      </c>
      <c r="D67">
        <v>4.4420000000000002</v>
      </c>
    </row>
    <row r="68" spans="1:4" x14ac:dyDescent="0.25">
      <c r="A68" t="s">
        <v>218</v>
      </c>
      <c r="B68" t="s">
        <v>631</v>
      </c>
      <c r="C68" t="s">
        <v>632</v>
      </c>
      <c r="D68">
        <v>987</v>
      </c>
    </row>
    <row r="69" spans="1:4" x14ac:dyDescent="0.25">
      <c r="A69" t="s">
        <v>155</v>
      </c>
      <c r="B69" t="s">
        <v>513</v>
      </c>
      <c r="C69" t="s">
        <v>514</v>
      </c>
      <c r="D69">
        <v>4.2699999999999996</v>
      </c>
    </row>
    <row r="70" spans="1:4" x14ac:dyDescent="0.25">
      <c r="A70" t="s">
        <v>3</v>
      </c>
      <c r="B70" t="s">
        <v>229</v>
      </c>
      <c r="C70" t="s">
        <v>230</v>
      </c>
      <c r="D70">
        <v>56.463999999999999</v>
      </c>
    </row>
    <row r="71" spans="1:4" x14ac:dyDescent="0.25">
      <c r="A71" t="s">
        <v>118</v>
      </c>
      <c r="B71" t="s">
        <v>444</v>
      </c>
      <c r="C71" t="s">
        <v>445</v>
      </c>
      <c r="D71">
        <v>6.508</v>
      </c>
    </row>
    <row r="72" spans="1:4" x14ac:dyDescent="0.25">
      <c r="A72" t="s">
        <v>23</v>
      </c>
      <c r="B72" t="s">
        <v>268</v>
      </c>
      <c r="C72" t="s">
        <v>269</v>
      </c>
      <c r="D72">
        <v>48.93</v>
      </c>
    </row>
    <row r="73" spans="1:4" x14ac:dyDescent="0.25">
      <c r="A73" t="s">
        <v>84</v>
      </c>
      <c r="B73" t="s">
        <v>383</v>
      </c>
      <c r="C73" t="s">
        <v>384</v>
      </c>
      <c r="D73">
        <v>9.3759999999999994</v>
      </c>
    </row>
    <row r="74" spans="1:4" x14ac:dyDescent="0.25">
      <c r="A74" t="s">
        <v>194</v>
      </c>
      <c r="B74" t="s">
        <v>585</v>
      </c>
      <c r="C74" t="s">
        <v>586</v>
      </c>
      <c r="D74">
        <v>904</v>
      </c>
    </row>
    <row r="75" spans="1:4" x14ac:dyDescent="0.25">
      <c r="A75" t="s">
        <v>209</v>
      </c>
      <c r="B75" t="s">
        <v>613</v>
      </c>
      <c r="C75" t="s">
        <v>614</v>
      </c>
      <c r="D75">
        <v>10.346</v>
      </c>
    </row>
    <row r="76" spans="1:4" x14ac:dyDescent="0.25">
      <c r="A76" t="s">
        <v>193</v>
      </c>
      <c r="B76" t="s">
        <v>583</v>
      </c>
      <c r="C76" t="s">
        <v>584</v>
      </c>
      <c r="D76">
        <v>3.2709999999999999</v>
      </c>
    </row>
    <row r="77" spans="1:4" x14ac:dyDescent="0.25">
      <c r="A77" t="s">
        <v>156</v>
      </c>
      <c r="B77" t="s">
        <v>515</v>
      </c>
      <c r="C77" t="s">
        <v>516</v>
      </c>
      <c r="D77">
        <v>12.21</v>
      </c>
    </row>
    <row r="78" spans="1:4" x14ac:dyDescent="0.25">
      <c r="A78" t="s">
        <v>65</v>
      </c>
      <c r="B78" t="s">
        <v>348</v>
      </c>
      <c r="C78" t="s">
        <v>349</v>
      </c>
      <c r="D78">
        <v>27.041</v>
      </c>
    </row>
    <row r="79" spans="1:4" x14ac:dyDescent="0.25">
      <c r="A79" t="s">
        <v>21</v>
      </c>
      <c r="B79" t="s">
        <v>264</v>
      </c>
      <c r="C79" t="s">
        <v>265</v>
      </c>
      <c r="D79">
        <v>58.499000000000002</v>
      </c>
    </row>
    <row r="80" spans="1:4" x14ac:dyDescent="0.25">
      <c r="A80" t="s">
        <v>179</v>
      </c>
      <c r="B80" t="s">
        <v>557</v>
      </c>
      <c r="C80" t="s">
        <v>558</v>
      </c>
      <c r="D80">
        <v>41.832999999999998</v>
      </c>
    </row>
    <row r="81" spans="1:4" x14ac:dyDescent="0.25">
      <c r="A81" t="s">
        <v>144</v>
      </c>
      <c r="B81" t="s">
        <v>492</v>
      </c>
      <c r="C81" t="s">
        <v>493</v>
      </c>
      <c r="D81">
        <v>6.4889999999999999</v>
      </c>
    </row>
    <row r="82" spans="1:4" x14ac:dyDescent="0.25">
      <c r="A82" t="s">
        <v>201</v>
      </c>
      <c r="B82" t="s">
        <v>597</v>
      </c>
      <c r="C82" t="s">
        <v>598</v>
      </c>
      <c r="D82">
        <v>1.722</v>
      </c>
    </row>
    <row r="83" spans="1:4" x14ac:dyDescent="0.25">
      <c r="A83" t="s">
        <v>198</v>
      </c>
      <c r="B83" t="s">
        <v>591</v>
      </c>
      <c r="C83" t="s">
        <v>592</v>
      </c>
      <c r="D83">
        <v>7.6280000000000001</v>
      </c>
    </row>
    <row r="84" spans="1:4" x14ac:dyDescent="0.25">
      <c r="A84" t="s">
        <v>183</v>
      </c>
      <c r="B84" t="s">
        <v>565</v>
      </c>
      <c r="C84" t="s">
        <v>566</v>
      </c>
      <c r="D84">
        <v>1.3109999999999999</v>
      </c>
    </row>
    <row r="85" spans="1:4" x14ac:dyDescent="0.25">
      <c r="A85" t="s">
        <v>62</v>
      </c>
      <c r="B85" t="s">
        <v>342</v>
      </c>
      <c r="C85" t="s">
        <v>343</v>
      </c>
      <c r="D85">
        <v>26.994</v>
      </c>
    </row>
    <row r="86" spans="1:4" x14ac:dyDescent="0.25">
      <c r="A86" t="s">
        <v>91</v>
      </c>
      <c r="B86" t="s">
        <v>396</v>
      </c>
      <c r="C86" t="s">
        <v>397</v>
      </c>
      <c r="D86">
        <v>2.5569999999999999</v>
      </c>
    </row>
    <row r="87" spans="1:4" x14ac:dyDescent="0.25">
      <c r="A87" t="s">
        <v>132</v>
      </c>
      <c r="B87" t="s">
        <v>470</v>
      </c>
      <c r="C87" t="s">
        <v>469</v>
      </c>
      <c r="D87">
        <v>3.6070000000000002</v>
      </c>
    </row>
    <row r="88" spans="1:4" x14ac:dyDescent="0.25">
      <c r="A88" t="s">
        <v>124</v>
      </c>
      <c r="B88" t="s">
        <v>456</v>
      </c>
      <c r="C88" t="s">
        <v>455</v>
      </c>
      <c r="D88">
        <v>56.893000000000001</v>
      </c>
    </row>
    <row r="89" spans="1:4" x14ac:dyDescent="0.25">
      <c r="A89" t="s">
        <v>6</v>
      </c>
      <c r="B89" t="s">
        <v>235</v>
      </c>
      <c r="C89" t="s">
        <v>236</v>
      </c>
      <c r="D89">
        <v>25.826000000000001</v>
      </c>
    </row>
    <row r="90" spans="1:4" x14ac:dyDescent="0.25">
      <c r="A90" t="s">
        <v>212</v>
      </c>
      <c r="B90" t="s">
        <v>619</v>
      </c>
      <c r="C90" t="s">
        <v>620</v>
      </c>
      <c r="D90">
        <v>2.6749999999999998</v>
      </c>
    </row>
    <row r="91" spans="1:4" x14ac:dyDescent="0.25">
      <c r="A91" t="s">
        <v>180</v>
      </c>
      <c r="B91" t="s">
        <v>559</v>
      </c>
      <c r="C91" t="s">
        <v>560</v>
      </c>
      <c r="D91">
        <v>5.0819999999999999</v>
      </c>
    </row>
    <row r="92" spans="1:4" x14ac:dyDescent="0.25">
      <c r="A92" t="s">
        <v>7</v>
      </c>
      <c r="B92" t="s">
        <v>237</v>
      </c>
      <c r="C92" t="s">
        <v>238</v>
      </c>
      <c r="D92">
        <v>5.8029999999999999</v>
      </c>
    </row>
    <row r="93" spans="1:4" x14ac:dyDescent="0.25">
      <c r="A93" t="s">
        <v>44</v>
      </c>
      <c r="B93" t="s">
        <v>308</v>
      </c>
      <c r="C93" t="s">
        <v>309</v>
      </c>
      <c r="D93">
        <v>4.2640000000000002</v>
      </c>
    </row>
    <row r="94" spans="1:4" x14ac:dyDescent="0.25">
      <c r="A94" t="s">
        <v>58</v>
      </c>
      <c r="B94" t="s">
        <v>334</v>
      </c>
      <c r="C94" t="s">
        <v>335</v>
      </c>
      <c r="D94">
        <v>130.65199999999999</v>
      </c>
    </row>
    <row r="95" spans="1:4" x14ac:dyDescent="0.25">
      <c r="A95" t="s">
        <v>145</v>
      </c>
      <c r="B95" t="s">
        <v>494</v>
      </c>
      <c r="C95" t="s">
        <v>495</v>
      </c>
      <c r="D95">
        <v>88.328999999999994</v>
      </c>
    </row>
    <row r="96" spans="1:4" x14ac:dyDescent="0.25">
      <c r="A96" t="s">
        <v>36</v>
      </c>
      <c r="B96" t="s">
        <v>293</v>
      </c>
      <c r="C96" t="s">
        <v>294</v>
      </c>
      <c r="D96">
        <v>99.070999999999998</v>
      </c>
    </row>
    <row r="97" spans="1:4" x14ac:dyDescent="0.25">
      <c r="A97" t="s">
        <v>151</v>
      </c>
      <c r="B97" t="s">
        <v>505</v>
      </c>
      <c r="C97" t="s">
        <v>506</v>
      </c>
      <c r="D97">
        <v>97.75</v>
      </c>
    </row>
    <row r="98" spans="1:4" x14ac:dyDescent="0.25">
      <c r="A98" t="s">
        <v>61</v>
      </c>
      <c r="B98" t="s">
        <v>340</v>
      </c>
      <c r="C98" t="s">
        <v>341</v>
      </c>
      <c r="D98">
        <v>25.75</v>
      </c>
    </row>
    <row r="99" spans="1:4" x14ac:dyDescent="0.25">
      <c r="A99" t="s">
        <v>82</v>
      </c>
      <c r="B99" t="s">
        <v>380</v>
      </c>
      <c r="C99" t="s">
        <v>381</v>
      </c>
      <c r="D99">
        <v>71.774000000000001</v>
      </c>
    </row>
    <row r="100" spans="1:4" x14ac:dyDescent="0.25">
      <c r="A100" t="s">
        <v>60</v>
      </c>
      <c r="B100" t="s">
        <v>338</v>
      </c>
      <c r="C100" t="s">
        <v>339</v>
      </c>
      <c r="D100">
        <v>23.786000000000001</v>
      </c>
    </row>
    <row r="101" spans="1:4" x14ac:dyDescent="0.25">
      <c r="A101" t="s">
        <v>85</v>
      </c>
      <c r="B101" t="s">
        <v>385</v>
      </c>
      <c r="C101" t="s">
        <v>386</v>
      </c>
      <c r="D101">
        <v>8.4510000000000005</v>
      </c>
    </row>
    <row r="102" spans="1:4" x14ac:dyDescent="0.25">
      <c r="A102" t="s">
        <v>88</v>
      </c>
      <c r="B102" t="s">
        <v>391</v>
      </c>
      <c r="C102" t="s">
        <v>392</v>
      </c>
      <c r="D102">
        <v>2.1349999999999998</v>
      </c>
    </row>
    <row r="103" spans="1:4" x14ac:dyDescent="0.25">
      <c r="A103" t="s">
        <v>187</v>
      </c>
      <c r="B103" t="s">
        <v>572</v>
      </c>
      <c r="C103" t="s">
        <v>573</v>
      </c>
      <c r="D103">
        <v>37.506999999999998</v>
      </c>
    </row>
    <row r="104" spans="1:4" x14ac:dyDescent="0.25">
      <c r="A104" t="s">
        <v>94</v>
      </c>
      <c r="B104" t="s">
        <v>402</v>
      </c>
      <c r="C104" t="s">
        <v>403</v>
      </c>
      <c r="D104">
        <v>38.627000000000002</v>
      </c>
    </row>
    <row r="105" spans="1:4" x14ac:dyDescent="0.25">
      <c r="A105" t="s">
        <v>37</v>
      </c>
      <c r="B105" t="s">
        <v>295</v>
      </c>
      <c r="C105" t="s">
        <v>296</v>
      </c>
      <c r="D105">
        <v>44.320999999999998</v>
      </c>
    </row>
    <row r="106" spans="1:4" x14ac:dyDescent="0.25">
      <c r="A106" t="s">
        <v>103</v>
      </c>
      <c r="B106" t="s">
        <v>417</v>
      </c>
      <c r="C106" t="s">
        <v>418</v>
      </c>
      <c r="D106">
        <v>60.335000000000001</v>
      </c>
    </row>
    <row r="107" spans="1:4" x14ac:dyDescent="0.25">
      <c r="A107" t="s">
        <v>10</v>
      </c>
      <c r="B107" t="s">
        <v>242</v>
      </c>
      <c r="C107" t="s">
        <v>243</v>
      </c>
      <c r="D107">
        <v>43.27</v>
      </c>
    </row>
    <row r="108" spans="1:4" x14ac:dyDescent="0.25">
      <c r="A108" t="s">
        <v>2</v>
      </c>
      <c r="B108" t="s">
        <v>227</v>
      </c>
      <c r="C108" t="s">
        <v>228</v>
      </c>
      <c r="D108">
        <v>8.1059999999999999</v>
      </c>
    </row>
    <row r="109" spans="1:4" x14ac:dyDescent="0.25">
      <c r="A109" t="s">
        <v>31</v>
      </c>
      <c r="B109" t="s">
        <v>283</v>
      </c>
      <c r="C109" t="s">
        <v>284</v>
      </c>
      <c r="D109">
        <v>35.972999999999999</v>
      </c>
    </row>
    <row r="110" spans="1:4" x14ac:dyDescent="0.25">
      <c r="A110" t="s">
        <v>89</v>
      </c>
      <c r="B110" t="s">
        <v>393</v>
      </c>
      <c r="C110" t="s">
        <v>392</v>
      </c>
      <c r="D110">
        <v>5.3550000000000004</v>
      </c>
    </row>
    <row r="111" spans="1:4" x14ac:dyDescent="0.25">
      <c r="A111" t="s">
        <v>199</v>
      </c>
      <c r="B111" t="s">
        <v>593</v>
      </c>
      <c r="C111" t="s">
        <v>594</v>
      </c>
      <c r="D111">
        <v>14.855</v>
      </c>
    </row>
    <row r="112" spans="1:4" x14ac:dyDescent="0.25">
      <c r="A112" t="s">
        <v>165</v>
      </c>
      <c r="B112" t="s">
        <v>532</v>
      </c>
      <c r="C112" t="s">
        <v>533</v>
      </c>
      <c r="D112">
        <v>2.5579999999999998</v>
      </c>
    </row>
    <row r="113" spans="1:4" x14ac:dyDescent="0.25">
      <c r="A113" t="s">
        <v>57</v>
      </c>
      <c r="B113" t="s">
        <v>332</v>
      </c>
      <c r="C113" t="s">
        <v>333</v>
      </c>
      <c r="D113">
        <v>2.984</v>
      </c>
    </row>
    <row r="114" spans="1:4" x14ac:dyDescent="0.25">
      <c r="A114" t="s">
        <v>149</v>
      </c>
      <c r="B114" t="s">
        <v>501</v>
      </c>
      <c r="C114" t="s">
        <v>502</v>
      </c>
      <c r="D114">
        <v>2.7010000000000001</v>
      </c>
    </row>
    <row r="115" spans="1:4" x14ac:dyDescent="0.25">
      <c r="A115" t="s">
        <v>122</v>
      </c>
      <c r="B115" t="s">
        <v>452</v>
      </c>
      <c r="C115" t="s">
        <v>453</v>
      </c>
      <c r="D115">
        <v>30.876999999999999</v>
      </c>
    </row>
    <row r="116" spans="1:4" x14ac:dyDescent="0.25">
      <c r="A116" t="s">
        <v>163</v>
      </c>
      <c r="B116" t="s">
        <v>528</v>
      </c>
      <c r="C116" t="s">
        <v>529</v>
      </c>
      <c r="D116">
        <v>2.2879999999999998</v>
      </c>
    </row>
    <row r="117" spans="1:4" x14ac:dyDescent="0.25">
      <c r="A117" t="s">
        <v>39</v>
      </c>
      <c r="B117" t="s">
        <v>299</v>
      </c>
      <c r="C117" t="s">
        <v>300</v>
      </c>
      <c r="D117">
        <v>1.206</v>
      </c>
    </row>
    <row r="118" spans="1:4" x14ac:dyDescent="0.25">
      <c r="A118" t="s">
        <v>71</v>
      </c>
      <c r="B118" t="s">
        <v>359</v>
      </c>
      <c r="C118" t="s">
        <v>360</v>
      </c>
      <c r="D118">
        <v>26.116</v>
      </c>
    </row>
    <row r="119" spans="1:4" x14ac:dyDescent="0.25">
      <c r="A119" t="s">
        <v>142</v>
      </c>
      <c r="B119" t="s">
        <v>488</v>
      </c>
      <c r="C119" t="s">
        <v>489</v>
      </c>
      <c r="D119">
        <v>6.4429999999999996</v>
      </c>
    </row>
    <row r="120" spans="1:4" x14ac:dyDescent="0.25">
      <c r="A120" t="s">
        <v>181</v>
      </c>
      <c r="B120" t="s">
        <v>561</v>
      </c>
      <c r="C120" t="s">
        <v>562</v>
      </c>
      <c r="D120">
        <v>910</v>
      </c>
    </row>
    <row r="121" spans="1:4" x14ac:dyDescent="0.25">
      <c r="A121" t="s">
        <v>59</v>
      </c>
      <c r="B121" t="s">
        <v>336</v>
      </c>
      <c r="C121" t="s">
        <v>337</v>
      </c>
      <c r="D121">
        <v>5.9989999999999997</v>
      </c>
    </row>
    <row r="122" spans="1:4" x14ac:dyDescent="0.25">
      <c r="A122" t="s">
        <v>1</v>
      </c>
      <c r="B122" t="s">
        <v>225</v>
      </c>
      <c r="C122" t="s">
        <v>226</v>
      </c>
      <c r="D122">
        <v>217.928</v>
      </c>
    </row>
    <row r="123" spans="1:4" x14ac:dyDescent="0.25">
      <c r="A123" t="s">
        <v>101</v>
      </c>
      <c r="B123" t="s">
        <v>413</v>
      </c>
      <c r="C123" t="s">
        <v>414</v>
      </c>
      <c r="D123">
        <v>32.838999999999999</v>
      </c>
    </row>
    <row r="124" spans="1:4" x14ac:dyDescent="0.25">
      <c r="A124" t="s">
        <v>16</v>
      </c>
      <c r="B124" t="s">
        <v>254</v>
      </c>
      <c r="C124" t="s">
        <v>255</v>
      </c>
      <c r="D124">
        <v>148.24700000000001</v>
      </c>
    </row>
    <row r="125" spans="1:4" x14ac:dyDescent="0.25">
      <c r="A125" t="s">
        <v>162</v>
      </c>
      <c r="B125" t="s">
        <v>526</v>
      </c>
      <c r="C125" t="s">
        <v>527</v>
      </c>
      <c r="D125">
        <v>74.465000000000003</v>
      </c>
    </row>
    <row r="126" spans="1:4" x14ac:dyDescent="0.25">
      <c r="A126" t="s">
        <v>125</v>
      </c>
      <c r="B126" t="s">
        <v>457</v>
      </c>
      <c r="C126" t="s">
        <v>455</v>
      </c>
      <c r="D126">
        <v>10.545999999999999</v>
      </c>
    </row>
    <row r="127" spans="1:4" x14ac:dyDescent="0.25">
      <c r="A127" t="s">
        <v>100</v>
      </c>
      <c r="B127" t="s">
        <v>411</v>
      </c>
      <c r="C127" t="s">
        <v>412</v>
      </c>
      <c r="D127">
        <v>622</v>
      </c>
    </row>
    <row r="128" spans="1:4" x14ac:dyDescent="0.25">
      <c r="A128" t="s">
        <v>182</v>
      </c>
      <c r="B128" t="s">
        <v>563</v>
      </c>
      <c r="C128" t="s">
        <v>564</v>
      </c>
      <c r="D128">
        <v>13.949</v>
      </c>
    </row>
    <row r="129" spans="1:4" x14ac:dyDescent="0.25">
      <c r="A129" t="s">
        <v>66</v>
      </c>
      <c r="B129" t="s">
        <v>350</v>
      </c>
      <c r="C129" t="s">
        <v>351</v>
      </c>
      <c r="D129">
        <v>625</v>
      </c>
    </row>
    <row r="130" spans="1:4" x14ac:dyDescent="0.25">
      <c r="A130" t="s">
        <v>176</v>
      </c>
      <c r="B130" t="s">
        <v>551</v>
      </c>
      <c r="C130" t="s">
        <v>552</v>
      </c>
      <c r="D130">
        <v>18.658000000000001</v>
      </c>
    </row>
    <row r="131" spans="1:4" x14ac:dyDescent="0.25">
      <c r="A131" t="s">
        <v>166</v>
      </c>
      <c r="B131" t="s">
        <v>534</v>
      </c>
      <c r="C131" t="s">
        <v>535</v>
      </c>
      <c r="D131">
        <v>1.19</v>
      </c>
    </row>
    <row r="132" spans="1:4" x14ac:dyDescent="0.25">
      <c r="A132" t="s">
        <v>141</v>
      </c>
      <c r="B132" t="s">
        <v>486</v>
      </c>
      <c r="C132" t="s">
        <v>487</v>
      </c>
      <c r="D132">
        <v>49.296999999999997</v>
      </c>
    </row>
    <row r="133" spans="1:4" x14ac:dyDescent="0.25">
      <c r="A133" t="s">
        <v>167</v>
      </c>
      <c r="B133" t="s">
        <v>536</v>
      </c>
      <c r="C133" t="s">
        <v>535</v>
      </c>
      <c r="D133">
        <v>4.8419999999999996</v>
      </c>
    </row>
    <row r="134" spans="1:4" x14ac:dyDescent="0.25">
      <c r="A134" t="s">
        <v>114</v>
      </c>
      <c r="B134" t="s">
        <v>437</v>
      </c>
      <c r="C134" t="s">
        <v>436</v>
      </c>
      <c r="D134">
        <v>12.977</v>
      </c>
    </row>
    <row r="135" spans="1:4" x14ac:dyDescent="0.25">
      <c r="A135" t="s">
        <v>148</v>
      </c>
      <c r="B135" t="s">
        <v>499</v>
      </c>
      <c r="C135" t="s">
        <v>500</v>
      </c>
      <c r="D135">
        <v>2.6549999999999998</v>
      </c>
    </row>
    <row r="136" spans="1:4" x14ac:dyDescent="0.25">
      <c r="A136" t="s">
        <v>12</v>
      </c>
      <c r="B136" t="s">
        <v>246</v>
      </c>
      <c r="C136" t="s">
        <v>247</v>
      </c>
      <c r="D136">
        <v>13.741</v>
      </c>
    </row>
    <row r="137" spans="1:4" x14ac:dyDescent="0.25">
      <c r="A137" t="s">
        <v>28</v>
      </c>
      <c r="B137" t="s">
        <v>278</v>
      </c>
      <c r="C137" t="s">
        <v>277</v>
      </c>
      <c r="D137">
        <v>5.3079999999999998</v>
      </c>
    </row>
    <row r="138" spans="1:4" x14ac:dyDescent="0.25">
      <c r="A138" t="s">
        <v>79</v>
      </c>
      <c r="B138" t="s">
        <v>374</v>
      </c>
      <c r="C138" t="s">
        <v>375</v>
      </c>
      <c r="D138">
        <v>8.5419999999999998</v>
      </c>
    </row>
    <row r="139" spans="1:4" x14ac:dyDescent="0.25">
      <c r="A139" t="s">
        <v>177</v>
      </c>
      <c r="B139" t="s">
        <v>553</v>
      </c>
      <c r="C139" t="s">
        <v>554</v>
      </c>
      <c r="D139">
        <v>256.58100000000002</v>
      </c>
    </row>
    <row r="140" spans="1:4" x14ac:dyDescent="0.25">
      <c r="A140" t="s">
        <v>203</v>
      </c>
      <c r="B140" t="s">
        <v>601</v>
      </c>
      <c r="C140" t="s">
        <v>602</v>
      </c>
      <c r="D140">
        <v>7.0789999999999997</v>
      </c>
    </row>
    <row r="141" spans="1:4" x14ac:dyDescent="0.25">
      <c r="A141" t="s">
        <v>90</v>
      </c>
      <c r="B141" t="s">
        <v>394</v>
      </c>
      <c r="C141" t="s">
        <v>395</v>
      </c>
      <c r="D141">
        <v>14.784000000000001</v>
      </c>
    </row>
    <row r="142" spans="1:4" x14ac:dyDescent="0.25">
      <c r="A142" t="s">
        <v>208</v>
      </c>
      <c r="B142" t="s">
        <v>611</v>
      </c>
      <c r="C142" t="s">
        <v>612</v>
      </c>
      <c r="D142">
        <v>18.196999999999999</v>
      </c>
    </row>
    <row r="143" spans="1:4" x14ac:dyDescent="0.25">
      <c r="A143" t="s">
        <v>9</v>
      </c>
      <c r="B143" t="s">
        <v>240</v>
      </c>
      <c r="C143" t="s">
        <v>241</v>
      </c>
      <c r="D143">
        <v>623</v>
      </c>
    </row>
    <row r="144" spans="1:4" x14ac:dyDescent="0.25">
      <c r="A144" t="s">
        <v>55</v>
      </c>
      <c r="B144" t="s">
        <v>328</v>
      </c>
      <c r="C144" t="s">
        <v>329</v>
      </c>
      <c r="D144">
        <v>1.502</v>
      </c>
    </row>
    <row r="145" spans="1:4" x14ac:dyDescent="0.25">
      <c r="A145" t="s">
        <v>80</v>
      </c>
      <c r="B145" t="s">
        <v>376</v>
      </c>
      <c r="C145" t="s">
        <v>377</v>
      </c>
      <c r="D145">
        <v>4.8620000000000001</v>
      </c>
    </row>
    <row r="146" spans="1:4" x14ac:dyDescent="0.25">
      <c r="A146" t="s">
        <v>73</v>
      </c>
      <c r="B146" t="s">
        <v>363</v>
      </c>
      <c r="C146" t="s">
        <v>364</v>
      </c>
      <c r="D146">
        <v>14.584</v>
      </c>
    </row>
    <row r="147" spans="1:4" x14ac:dyDescent="0.25">
      <c r="A147" t="s">
        <v>161</v>
      </c>
      <c r="B147" t="s">
        <v>524</v>
      </c>
      <c r="C147" t="s">
        <v>525</v>
      </c>
      <c r="D147">
        <v>1.512</v>
      </c>
    </row>
    <row r="148" spans="1:4" x14ac:dyDescent="0.25">
      <c r="A148" t="s">
        <v>169</v>
      </c>
      <c r="B148" t="s">
        <v>538</v>
      </c>
      <c r="C148" t="s">
        <v>539</v>
      </c>
      <c r="D148">
        <v>3.3370000000000002</v>
      </c>
    </row>
    <row r="149" spans="1:4" x14ac:dyDescent="0.25">
      <c r="A149" t="s">
        <v>204</v>
      </c>
      <c r="B149" t="s">
        <v>603</v>
      </c>
      <c r="C149" t="s">
        <v>604</v>
      </c>
      <c r="D149">
        <v>750</v>
      </c>
    </row>
    <row r="150" spans="1:4" x14ac:dyDescent="0.25">
      <c r="A150" t="s">
        <v>143</v>
      </c>
      <c r="B150" t="s">
        <v>490</v>
      </c>
      <c r="C150" t="s">
        <v>491</v>
      </c>
      <c r="D150">
        <v>1.2230000000000001</v>
      </c>
    </row>
    <row r="151" spans="1:4" x14ac:dyDescent="0.25">
      <c r="A151" t="s">
        <v>29</v>
      </c>
      <c r="B151" t="s">
        <v>279</v>
      </c>
      <c r="C151" t="s">
        <v>280</v>
      </c>
      <c r="D151">
        <v>94.468000000000004</v>
      </c>
    </row>
    <row r="152" spans="1:4" x14ac:dyDescent="0.25">
      <c r="A152" t="s">
        <v>8</v>
      </c>
      <c r="B152" t="s">
        <v>239</v>
      </c>
      <c r="C152" t="s">
        <v>238</v>
      </c>
      <c r="D152">
        <v>34.981000000000002</v>
      </c>
    </row>
    <row r="153" spans="1:4" x14ac:dyDescent="0.25">
      <c r="A153" t="s">
        <v>4</v>
      </c>
      <c r="B153" t="s">
        <v>231</v>
      </c>
      <c r="C153" t="s">
        <v>232</v>
      </c>
      <c r="D153">
        <v>48.621000000000002</v>
      </c>
    </row>
    <row r="154" spans="1:4" x14ac:dyDescent="0.25">
      <c r="A154" t="s">
        <v>77</v>
      </c>
      <c r="B154" t="s">
        <v>370</v>
      </c>
      <c r="C154" t="s">
        <v>371</v>
      </c>
      <c r="D154">
        <v>19.995999999999999</v>
      </c>
    </row>
    <row r="155" spans="1:4" x14ac:dyDescent="0.25">
      <c r="A155" t="s">
        <v>52</v>
      </c>
      <c r="B155" t="s">
        <v>323</v>
      </c>
      <c r="C155" t="s">
        <v>324</v>
      </c>
      <c r="D155">
        <v>73.832999999999998</v>
      </c>
    </row>
    <row r="156" spans="1:4" x14ac:dyDescent="0.25">
      <c r="A156" t="s">
        <v>112</v>
      </c>
      <c r="B156" t="s">
        <v>433</v>
      </c>
      <c r="C156" t="s">
        <v>434</v>
      </c>
      <c r="D156">
        <v>1.696</v>
      </c>
    </row>
    <row r="157" spans="1:4" x14ac:dyDescent="0.25">
      <c r="A157" t="s">
        <v>197</v>
      </c>
      <c r="B157" t="s">
        <v>589</v>
      </c>
      <c r="C157" t="s">
        <v>590</v>
      </c>
      <c r="D157">
        <v>19.684999999999999</v>
      </c>
    </row>
    <row r="158" spans="1:4" x14ac:dyDescent="0.25">
      <c r="A158" t="s">
        <v>150</v>
      </c>
      <c r="B158" t="s">
        <v>503</v>
      </c>
      <c r="C158" t="s">
        <v>504</v>
      </c>
      <c r="D158">
        <v>19.814</v>
      </c>
    </row>
    <row r="159" spans="1:4" x14ac:dyDescent="0.25">
      <c r="A159" t="s">
        <v>188</v>
      </c>
      <c r="B159" t="s">
        <v>574</v>
      </c>
      <c r="C159" t="s">
        <v>573</v>
      </c>
      <c r="D159">
        <v>2.5379999999999998</v>
      </c>
    </row>
    <row r="160" spans="1:4" x14ac:dyDescent="0.25">
      <c r="A160" t="s">
        <v>195</v>
      </c>
      <c r="B160" t="s">
        <v>587</v>
      </c>
      <c r="C160" t="s">
        <v>586</v>
      </c>
      <c r="D160">
        <v>7.6920000000000002</v>
      </c>
    </row>
    <row r="161" spans="1:4" x14ac:dyDescent="0.25">
      <c r="A161" t="s">
        <v>121</v>
      </c>
      <c r="B161" t="s">
        <v>450</v>
      </c>
      <c r="C161" t="s">
        <v>451</v>
      </c>
      <c r="D161">
        <v>9.9109999999999996</v>
      </c>
    </row>
    <row r="162" spans="1:4" x14ac:dyDescent="0.25">
      <c r="A162" t="s">
        <v>106</v>
      </c>
      <c r="B162" t="s">
        <v>423</v>
      </c>
      <c r="C162" t="s">
        <v>422</v>
      </c>
      <c r="D162">
        <v>22.774000000000001</v>
      </c>
    </row>
    <row r="163" spans="1:4" x14ac:dyDescent="0.25">
      <c r="A163" t="s">
        <v>127</v>
      </c>
      <c r="B163" t="s">
        <v>460</v>
      </c>
      <c r="C163" t="s">
        <v>461</v>
      </c>
      <c r="D163">
        <v>28.373999999999999</v>
      </c>
    </row>
    <row r="164" spans="1:4" x14ac:dyDescent="0.25">
      <c r="A164" t="s">
        <v>53</v>
      </c>
      <c r="B164" t="s">
        <v>325</v>
      </c>
      <c r="C164" t="s">
        <v>324</v>
      </c>
      <c r="D164">
        <v>32.165999999999997</v>
      </c>
    </row>
    <row r="165" spans="1:4" x14ac:dyDescent="0.25">
      <c r="A165" t="s">
        <v>19</v>
      </c>
      <c r="B165" t="s">
        <v>260</v>
      </c>
      <c r="C165" t="s">
        <v>261</v>
      </c>
      <c r="D165">
        <v>39.847000000000001</v>
      </c>
    </row>
    <row r="166" spans="1:4" x14ac:dyDescent="0.25">
      <c r="A166" t="s">
        <v>189</v>
      </c>
      <c r="B166" t="s">
        <v>575</v>
      </c>
      <c r="C166" t="s">
        <v>576</v>
      </c>
      <c r="D166">
        <v>871</v>
      </c>
    </row>
    <row r="167" spans="1:4" x14ac:dyDescent="0.25">
      <c r="A167" t="s">
        <v>38</v>
      </c>
      <c r="B167" t="s">
        <v>297</v>
      </c>
      <c r="C167" t="s">
        <v>298</v>
      </c>
      <c r="D167">
        <v>57.607999999999997</v>
      </c>
    </row>
    <row r="168" spans="1:4" x14ac:dyDescent="0.25">
      <c r="A168" t="s">
        <v>164</v>
      </c>
      <c r="B168" t="s">
        <v>530</v>
      </c>
      <c r="C168" t="s">
        <v>531</v>
      </c>
      <c r="D168">
        <v>579</v>
      </c>
    </row>
    <row r="169" spans="1:4" x14ac:dyDescent="0.25">
      <c r="A169" t="s">
        <v>86</v>
      </c>
      <c r="B169" t="s">
        <v>387</v>
      </c>
      <c r="C169" t="s">
        <v>388</v>
      </c>
      <c r="D169">
        <v>35.677999999999997</v>
      </c>
    </row>
    <row r="170" spans="1:4" x14ac:dyDescent="0.25">
      <c r="A170" t="s">
        <v>70</v>
      </c>
      <c r="B170" t="s">
        <v>358</v>
      </c>
      <c r="C170" t="s">
        <v>357</v>
      </c>
      <c r="D170">
        <v>11.749000000000001</v>
      </c>
    </row>
    <row r="171" spans="1:4" x14ac:dyDescent="0.25">
      <c r="A171" t="s">
        <v>205</v>
      </c>
      <c r="B171" t="s">
        <v>605</v>
      </c>
      <c r="C171" t="s">
        <v>606</v>
      </c>
      <c r="D171">
        <v>1.1279999999999999</v>
      </c>
    </row>
    <row r="172" spans="1:4" x14ac:dyDescent="0.25">
      <c r="A172" t="s">
        <v>17</v>
      </c>
      <c r="B172" t="s">
        <v>256</v>
      </c>
      <c r="C172" t="s">
        <v>257</v>
      </c>
      <c r="D172">
        <v>22.725000000000001</v>
      </c>
    </row>
    <row r="173" spans="1:4" x14ac:dyDescent="0.25">
      <c r="A173" t="s">
        <v>25</v>
      </c>
      <c r="B173" t="s">
        <v>272</v>
      </c>
      <c r="C173" t="s">
        <v>273</v>
      </c>
      <c r="D173">
        <v>17.972000000000001</v>
      </c>
    </row>
    <row r="174" spans="1:4" x14ac:dyDescent="0.25">
      <c r="A174" t="s">
        <v>147</v>
      </c>
      <c r="B174" t="s">
        <v>498</v>
      </c>
      <c r="C174" t="s">
        <v>497</v>
      </c>
      <c r="D174">
        <v>6.0750000000000002</v>
      </c>
    </row>
    <row r="175" spans="1:4" x14ac:dyDescent="0.25">
      <c r="A175" t="s">
        <v>49</v>
      </c>
      <c r="B175" t="s">
        <v>318</v>
      </c>
      <c r="C175" t="s">
        <v>317</v>
      </c>
      <c r="D175">
        <v>18.016999999999999</v>
      </c>
    </row>
    <row r="176" spans="1:4" x14ac:dyDescent="0.25">
      <c r="A176" t="s">
        <v>41</v>
      </c>
      <c r="B176" t="s">
        <v>303</v>
      </c>
      <c r="C176" t="s">
        <v>304</v>
      </c>
      <c r="D176">
        <v>21.001999999999999</v>
      </c>
    </row>
    <row r="177" spans="1:4" x14ac:dyDescent="0.25">
      <c r="A177" t="s">
        <v>42</v>
      </c>
      <c r="B177" t="s">
        <v>305</v>
      </c>
      <c r="C177" t="s">
        <v>304</v>
      </c>
      <c r="D177">
        <v>65.543000000000006</v>
      </c>
    </row>
    <row r="178" spans="1:4" x14ac:dyDescent="0.25">
      <c r="A178" t="s">
        <v>168</v>
      </c>
      <c r="B178" t="s">
        <v>537</v>
      </c>
      <c r="C178" t="s">
        <v>535</v>
      </c>
      <c r="D178">
        <v>21.667999999999999</v>
      </c>
    </row>
    <row r="179" spans="1:4" x14ac:dyDescent="0.25">
      <c r="A179" t="s">
        <v>120</v>
      </c>
      <c r="B179" t="s">
        <v>448</v>
      </c>
      <c r="C179" t="s">
        <v>449</v>
      </c>
      <c r="D179">
        <v>10.573</v>
      </c>
    </row>
    <row r="180" spans="1:4" x14ac:dyDescent="0.25">
      <c r="A180" t="s">
        <v>47</v>
      </c>
      <c r="B180" t="s">
        <v>314</v>
      </c>
      <c r="C180" t="s">
        <v>315</v>
      </c>
      <c r="D180">
        <v>14.603</v>
      </c>
    </row>
    <row r="181" spans="1:4" x14ac:dyDescent="0.25">
      <c r="A181" t="s">
        <v>67</v>
      </c>
      <c r="B181" t="s">
        <v>352</v>
      </c>
      <c r="C181" t="s">
        <v>353</v>
      </c>
      <c r="D181">
        <v>4.085</v>
      </c>
    </row>
    <row r="182" spans="1:4" x14ac:dyDescent="0.25">
      <c r="A182" t="s">
        <v>214</v>
      </c>
      <c r="B182" t="s">
        <v>623</v>
      </c>
      <c r="C182" t="s">
        <v>624</v>
      </c>
      <c r="D182">
        <v>1.9359999999999999</v>
      </c>
    </row>
    <row r="183" spans="1:4" x14ac:dyDescent="0.25">
      <c r="A183" t="s">
        <v>64</v>
      </c>
      <c r="B183" t="s">
        <v>346</v>
      </c>
      <c r="C183" t="s">
        <v>347</v>
      </c>
      <c r="D183">
        <v>15.284000000000001</v>
      </c>
    </row>
    <row r="184" spans="1:4" x14ac:dyDescent="0.25">
      <c r="A184" t="s">
        <v>178</v>
      </c>
      <c r="B184" t="s">
        <v>555</v>
      </c>
      <c r="C184" t="s">
        <v>556</v>
      </c>
      <c r="D184">
        <v>18.478999999999999</v>
      </c>
    </row>
    <row r="185" spans="1:4" x14ac:dyDescent="0.25">
      <c r="A185" t="s">
        <v>153</v>
      </c>
      <c r="B185" t="s">
        <v>509</v>
      </c>
      <c r="C185" t="s">
        <v>510</v>
      </c>
      <c r="D185">
        <v>874</v>
      </c>
    </row>
    <row r="186" spans="1:4" x14ac:dyDescent="0.25">
      <c r="A186" t="s">
        <v>175</v>
      </c>
      <c r="B186" t="s">
        <v>549</v>
      </c>
      <c r="C186" t="s">
        <v>550</v>
      </c>
      <c r="D186">
        <v>99.364999999999995</v>
      </c>
    </row>
    <row r="187" spans="1:4" x14ac:dyDescent="0.25">
      <c r="A187" t="s">
        <v>126</v>
      </c>
      <c r="B187" t="s">
        <v>458</v>
      </c>
      <c r="C187" t="s">
        <v>459</v>
      </c>
      <c r="D187">
        <v>40.027999999999999</v>
      </c>
    </row>
    <row r="188" spans="1:4" x14ac:dyDescent="0.25">
      <c r="A188" t="s">
        <v>33</v>
      </c>
      <c r="B188" t="s">
        <v>287</v>
      </c>
      <c r="C188" t="s">
        <v>288</v>
      </c>
      <c r="D188">
        <v>847</v>
      </c>
    </row>
    <row r="189" spans="1:4" x14ac:dyDescent="0.25">
      <c r="A189" t="s">
        <v>107</v>
      </c>
      <c r="B189" t="s">
        <v>424</v>
      </c>
      <c r="C189" t="s">
        <v>422</v>
      </c>
      <c r="D189">
        <v>764</v>
      </c>
    </row>
    <row r="190" spans="1:4" x14ac:dyDescent="0.25">
      <c r="A190" t="s">
        <v>174</v>
      </c>
      <c r="B190" t="s">
        <v>548</v>
      </c>
      <c r="C190" t="s">
        <v>547</v>
      </c>
      <c r="D190">
        <v>4.516</v>
      </c>
    </row>
    <row r="191" spans="1:4" x14ac:dyDescent="0.25">
      <c r="A191" t="s">
        <v>30</v>
      </c>
      <c r="B191" t="s">
        <v>281</v>
      </c>
      <c r="C191" t="s">
        <v>282</v>
      </c>
      <c r="D191">
        <v>6.7690000000000001</v>
      </c>
    </row>
    <row r="192" spans="1:4" x14ac:dyDescent="0.25">
      <c r="A192" t="s">
        <v>119</v>
      </c>
      <c r="B192" t="s">
        <v>446</v>
      </c>
      <c r="C192" t="s">
        <v>447</v>
      </c>
      <c r="D192">
        <v>788</v>
      </c>
    </row>
    <row r="193" spans="1:4" x14ac:dyDescent="0.25">
      <c r="A193" t="s">
        <v>171</v>
      </c>
      <c r="B193" t="s">
        <v>542</v>
      </c>
      <c r="C193" t="s">
        <v>543</v>
      </c>
      <c r="D193">
        <v>470</v>
      </c>
    </row>
    <row r="194" spans="1:4" x14ac:dyDescent="0.25">
      <c r="A194" t="s">
        <v>46</v>
      </c>
      <c r="B194" t="s">
        <v>312</v>
      </c>
      <c r="C194" t="s">
        <v>313</v>
      </c>
      <c r="D194">
        <v>62.661999999999999</v>
      </c>
    </row>
    <row r="195" spans="1:4" x14ac:dyDescent="0.25">
      <c r="A195" t="s">
        <v>35</v>
      </c>
      <c r="B195" t="s">
        <v>291</v>
      </c>
      <c r="C195" t="s">
        <v>292</v>
      </c>
      <c r="D195">
        <v>115.62</v>
      </c>
    </row>
    <row r="196" spans="1:4" x14ac:dyDescent="0.25">
      <c r="A196" t="s">
        <v>43</v>
      </c>
      <c r="B196" t="s">
        <v>306</v>
      </c>
      <c r="C196" t="s">
        <v>307</v>
      </c>
      <c r="D196">
        <v>7.0990000000000002</v>
      </c>
    </row>
    <row r="197" spans="1:4" x14ac:dyDescent="0.25">
      <c r="A197" t="s">
        <v>78</v>
      </c>
      <c r="B197" t="s">
        <v>372</v>
      </c>
      <c r="C197" t="s">
        <v>373</v>
      </c>
      <c r="D197">
        <v>8.0570000000000004</v>
      </c>
    </row>
    <row r="198" spans="1:4" x14ac:dyDescent="0.25">
      <c r="A198" t="s">
        <v>217</v>
      </c>
      <c r="B198" t="s">
        <v>629</v>
      </c>
      <c r="C198" t="s">
        <v>630</v>
      </c>
      <c r="D198">
        <v>39.488999999999997</v>
      </c>
    </row>
    <row r="199" spans="1:4" x14ac:dyDescent="0.25">
      <c r="A199" t="s">
        <v>191</v>
      </c>
      <c r="B199" t="s">
        <v>579</v>
      </c>
      <c r="C199" t="s">
        <v>580</v>
      </c>
      <c r="D199">
        <v>1.292</v>
      </c>
    </row>
    <row r="200" spans="1:4" x14ac:dyDescent="0.25">
      <c r="A200" t="s">
        <v>216</v>
      </c>
      <c r="B200" t="s">
        <v>627</v>
      </c>
      <c r="C200" t="s">
        <v>628</v>
      </c>
      <c r="D200">
        <v>1.6930000000000001</v>
      </c>
    </row>
    <row r="201" spans="1:4" x14ac:dyDescent="0.25">
      <c r="A201" t="s">
        <v>158</v>
      </c>
      <c r="B201" t="s">
        <v>519</v>
      </c>
      <c r="C201" t="s">
        <v>518</v>
      </c>
      <c r="D201">
        <v>1.464</v>
      </c>
    </row>
    <row r="202" spans="1:4" x14ac:dyDescent="0.25">
      <c r="A202" t="s">
        <v>192</v>
      </c>
      <c r="B202" t="s">
        <v>581</v>
      </c>
      <c r="C202" t="s">
        <v>582</v>
      </c>
      <c r="D202">
        <v>1.2170000000000001</v>
      </c>
    </row>
    <row r="203" spans="1:4" x14ac:dyDescent="0.25">
      <c r="A203" t="s">
        <v>99</v>
      </c>
      <c r="B203" t="s">
        <v>410</v>
      </c>
      <c r="C203" t="s">
        <v>407</v>
      </c>
      <c r="D203">
        <v>6.8579999999999997</v>
      </c>
    </row>
    <row r="204" spans="1:4" x14ac:dyDescent="0.25">
      <c r="A204" t="s">
        <v>18</v>
      </c>
      <c r="B204" t="s">
        <v>258</v>
      </c>
      <c r="C204" t="s">
        <v>259</v>
      </c>
      <c r="D204">
        <v>18.071999999999999</v>
      </c>
    </row>
    <row r="205" spans="1:4" x14ac:dyDescent="0.25">
      <c r="A205" t="s">
        <v>83</v>
      </c>
      <c r="B205" t="s">
        <v>382</v>
      </c>
      <c r="C205" t="s">
        <v>381</v>
      </c>
      <c r="D205">
        <v>4.6639999999999997</v>
      </c>
    </row>
    <row r="206" spans="1:4" x14ac:dyDescent="0.25">
      <c r="A206" t="s">
        <v>128</v>
      </c>
      <c r="B206" t="s">
        <v>462</v>
      </c>
      <c r="C206" t="s">
        <v>463</v>
      </c>
      <c r="D206">
        <v>11.587</v>
      </c>
    </row>
    <row r="207" spans="1:4" x14ac:dyDescent="0.25">
      <c r="A207" t="s">
        <v>129</v>
      </c>
      <c r="B207" t="s">
        <v>464</v>
      </c>
      <c r="C207" t="s">
        <v>465</v>
      </c>
      <c r="D207">
        <v>18.611000000000001</v>
      </c>
    </row>
    <row r="208" spans="1:4" x14ac:dyDescent="0.25">
      <c r="A208" t="s">
        <v>72</v>
      </c>
      <c r="B208" t="s">
        <v>361</v>
      </c>
      <c r="C208" t="s">
        <v>362</v>
      </c>
      <c r="D208">
        <v>5.8230000000000004</v>
      </c>
    </row>
    <row r="209" spans="1:4" x14ac:dyDescent="0.25">
      <c r="A209" t="s">
        <v>51</v>
      </c>
      <c r="B209" t="s">
        <v>321</v>
      </c>
      <c r="C209" t="s">
        <v>322</v>
      </c>
      <c r="D209">
        <v>6.4989999999999997</v>
      </c>
    </row>
    <row r="210" spans="1:4" x14ac:dyDescent="0.25">
      <c r="A210" t="s">
        <v>202</v>
      </c>
      <c r="B210" t="s">
        <v>599</v>
      </c>
      <c r="C210" t="s">
        <v>600</v>
      </c>
      <c r="D210">
        <v>1.375</v>
      </c>
    </row>
    <row r="211" spans="1:4" x14ac:dyDescent="0.25">
      <c r="A211" t="s">
        <v>50</v>
      </c>
      <c r="B211" t="s">
        <v>319</v>
      </c>
      <c r="C211" t="s">
        <v>320</v>
      </c>
      <c r="D211">
        <v>24.548999999999999</v>
      </c>
    </row>
    <row r="212" spans="1:4" x14ac:dyDescent="0.25">
      <c r="A212" t="s">
        <v>213</v>
      </c>
      <c r="B212" t="s">
        <v>621</v>
      </c>
      <c r="C212" t="s">
        <v>622</v>
      </c>
      <c r="D212">
        <v>3.8460000000000001</v>
      </c>
    </row>
    <row r="213" spans="1:4" x14ac:dyDescent="0.25">
      <c r="A213" t="s">
        <v>109</v>
      </c>
      <c r="B213" t="s">
        <v>427</v>
      </c>
      <c r="C213" t="s">
        <v>428</v>
      </c>
      <c r="D213">
        <v>3.9359999999999999</v>
      </c>
    </row>
    <row r="214" spans="1:4" x14ac:dyDescent="0.25">
      <c r="A214" t="s">
        <v>45</v>
      </c>
      <c r="B214" t="s">
        <v>310</v>
      </c>
      <c r="C214" t="s">
        <v>311</v>
      </c>
      <c r="D214">
        <v>3.7360000000000002</v>
      </c>
    </row>
    <row r="215" spans="1:4" x14ac:dyDescent="0.25">
      <c r="A215" t="s">
        <v>215</v>
      </c>
      <c r="B215" t="s">
        <v>625</v>
      </c>
      <c r="C215" t="s">
        <v>626</v>
      </c>
      <c r="D215">
        <v>4.8289999999999997</v>
      </c>
    </row>
    <row r="216" spans="1:4" x14ac:dyDescent="0.25">
      <c r="A216" t="s">
        <v>11</v>
      </c>
      <c r="B216" t="s">
        <v>244</v>
      </c>
      <c r="C216" t="s">
        <v>245</v>
      </c>
      <c r="D216">
        <v>420</v>
      </c>
    </row>
    <row r="217" spans="1:4" x14ac:dyDescent="0.25">
      <c r="A217" t="s">
        <v>196</v>
      </c>
      <c r="B217" t="s">
        <v>588</v>
      </c>
      <c r="C217" t="s">
        <v>586</v>
      </c>
      <c r="D217">
        <v>4.1449999999999996</v>
      </c>
    </row>
    <row r="218" spans="1:4" x14ac:dyDescent="0.25">
      <c r="A218" t="s">
        <v>135</v>
      </c>
      <c r="B218" t="s">
        <v>475</v>
      </c>
      <c r="C218" t="s">
        <v>476</v>
      </c>
      <c r="D218">
        <v>1.3180000000000001</v>
      </c>
    </row>
    <row r="219" spans="1:4" x14ac:dyDescent="0.25">
      <c r="A219" t="s">
        <v>211</v>
      </c>
      <c r="B219" t="s">
        <v>617</v>
      </c>
      <c r="C219" t="s">
        <v>618</v>
      </c>
      <c r="D219">
        <v>3.08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53BB-E26C-4261-ABF2-C2B0C8AF4DC3}">
  <dimension ref="A1:G201"/>
  <sheetViews>
    <sheetView topLeftCell="A160" workbookViewId="0">
      <selection activeCell="A142" sqref="A142"/>
    </sheetView>
  </sheetViews>
  <sheetFormatPr baseColWidth="10" defaultRowHeight="15" x14ac:dyDescent="0.25"/>
  <cols>
    <col min="1" max="1" width="34.5703125" customWidth="1"/>
    <col min="2" max="2" width="22.85546875" bestFit="1" customWidth="1"/>
    <col min="3" max="3" width="23" bestFit="1" customWidth="1"/>
    <col min="4" max="4" width="15.85546875" bestFit="1" customWidth="1"/>
    <col min="7" max="7" width="31.28515625" bestFit="1" customWidth="1"/>
    <col min="8" max="8" width="14.28515625" bestFit="1" customWidth="1"/>
  </cols>
  <sheetData>
    <row r="1" spans="1:7" x14ac:dyDescent="0.25">
      <c r="A1" t="s">
        <v>633</v>
      </c>
      <c r="B1" t="s">
        <v>634</v>
      </c>
      <c r="C1" t="s">
        <v>635</v>
      </c>
      <c r="D1" t="s">
        <v>636</v>
      </c>
    </row>
    <row r="2" spans="1:7" x14ac:dyDescent="0.25">
      <c r="A2" t="s">
        <v>105</v>
      </c>
      <c r="B2">
        <v>700</v>
      </c>
      <c r="C2">
        <v>1.105</v>
      </c>
      <c r="D2">
        <v>-406</v>
      </c>
      <c r="G2" t="str">
        <f>TRIM(SUBSTITUTE(A2,CHAR(160),""))</f>
        <v>Afganistán</v>
      </c>
    </row>
    <row r="3" spans="1:7" x14ac:dyDescent="0.25">
      <c r="A3" t="s">
        <v>133</v>
      </c>
      <c r="B3">
        <v>8.0310000000000006</v>
      </c>
      <c r="C3">
        <v>3.8290000000000002</v>
      </c>
      <c r="D3">
        <v>4.202</v>
      </c>
      <c r="G3" t="str">
        <f t="shared" ref="G3:G66" si="0">TRIM(SUBSTITUTE(A3,CHAR(160),""))</f>
        <v>Albania</v>
      </c>
    </row>
    <row r="4" spans="1:7" x14ac:dyDescent="0.25">
      <c r="A4" t="s">
        <v>5</v>
      </c>
      <c r="B4">
        <v>471.58199999999999</v>
      </c>
      <c r="C4">
        <v>551.80100000000004</v>
      </c>
      <c r="D4">
        <v>-80.218999999999994</v>
      </c>
      <c r="G4" t="str">
        <f t="shared" si="0"/>
        <v>Alemania</v>
      </c>
    </row>
    <row r="5" spans="1:7" x14ac:dyDescent="0.25">
      <c r="A5" t="s">
        <v>139</v>
      </c>
      <c r="B5">
        <v>2.9329999999999998</v>
      </c>
      <c r="C5">
        <v>834</v>
      </c>
      <c r="D5">
        <v>2.0990000000000002</v>
      </c>
      <c r="G5" t="str">
        <f t="shared" si="0"/>
        <v>Andorra</v>
      </c>
    </row>
    <row r="6" spans="1:7" x14ac:dyDescent="0.25">
      <c r="A6" t="s">
        <v>116</v>
      </c>
      <c r="B6">
        <v>76</v>
      </c>
      <c r="C6">
        <v>8.6029999999999998</v>
      </c>
      <c r="D6">
        <v>-8.5269999999999992</v>
      </c>
      <c r="G6" t="str">
        <f t="shared" si="0"/>
        <v>Angola</v>
      </c>
    </row>
    <row r="7" spans="1:7" x14ac:dyDescent="0.25">
      <c r="A7" t="s">
        <v>108</v>
      </c>
      <c r="B7">
        <v>1.1000000000000001</v>
      </c>
      <c r="C7">
        <v>530</v>
      </c>
      <c r="D7">
        <v>570</v>
      </c>
      <c r="G7" t="str">
        <f t="shared" si="0"/>
        <v>Antigua y Barbuda</v>
      </c>
    </row>
    <row r="8" spans="1:7" x14ac:dyDescent="0.25">
      <c r="A8" t="s">
        <v>157</v>
      </c>
      <c r="B8">
        <v>55.277000000000001</v>
      </c>
      <c r="C8">
        <v>101.66500000000001</v>
      </c>
      <c r="D8">
        <v>-46.387999999999998</v>
      </c>
      <c r="G8" t="str">
        <f t="shared" si="0"/>
        <v>Arabia Saudita</v>
      </c>
    </row>
    <row r="9" spans="1:7" x14ac:dyDescent="0.25">
      <c r="A9" t="s">
        <v>138</v>
      </c>
      <c r="B9">
        <v>3.8769999999999998</v>
      </c>
      <c r="C9">
        <v>8.2789999999999999</v>
      </c>
      <c r="D9">
        <v>-4.4029999999999996</v>
      </c>
      <c r="G9" t="str">
        <f t="shared" si="0"/>
        <v>Argelia</v>
      </c>
    </row>
    <row r="10" spans="1:7" x14ac:dyDescent="0.25">
      <c r="A10" t="s">
        <v>152</v>
      </c>
      <c r="B10">
        <v>17.122</v>
      </c>
      <c r="C10">
        <v>22.597999999999999</v>
      </c>
      <c r="D10">
        <v>-5.476</v>
      </c>
      <c r="G10" t="str">
        <f t="shared" si="0"/>
        <v>Argentina</v>
      </c>
    </row>
    <row r="11" spans="1:7" x14ac:dyDescent="0.25">
      <c r="A11" t="s">
        <v>207</v>
      </c>
      <c r="B11">
        <v>5.6820000000000004</v>
      </c>
      <c r="C11">
        <v>3.847</v>
      </c>
      <c r="D11">
        <v>1.835</v>
      </c>
      <c r="G11" t="str">
        <f t="shared" si="0"/>
        <v>Armenia</v>
      </c>
    </row>
    <row r="12" spans="1:7" x14ac:dyDescent="0.25">
      <c r="A12" t="s">
        <v>185</v>
      </c>
      <c r="B12">
        <v>2.9889999999999999</v>
      </c>
      <c r="C12">
        <v>1.18</v>
      </c>
      <c r="D12">
        <v>1.8089999999999999</v>
      </c>
      <c r="G12" t="str">
        <f t="shared" si="0"/>
        <v>Aruba</v>
      </c>
    </row>
    <row r="13" spans="1:7" x14ac:dyDescent="0.25">
      <c r="A13" t="s">
        <v>56</v>
      </c>
      <c r="B13">
        <v>83.385999999999996</v>
      </c>
      <c r="C13">
        <v>108.66500000000001</v>
      </c>
      <c r="D13">
        <v>-25.279</v>
      </c>
      <c r="G13" t="str">
        <f t="shared" si="0"/>
        <v>Australia</v>
      </c>
    </row>
    <row r="14" spans="1:7" x14ac:dyDescent="0.25">
      <c r="A14" t="s">
        <v>15</v>
      </c>
      <c r="B14">
        <v>94.302999999999997</v>
      </c>
      <c r="C14">
        <v>87.983999999999995</v>
      </c>
      <c r="D14">
        <v>5.9020000000000001</v>
      </c>
      <c r="G14" t="str">
        <f t="shared" si="0"/>
        <v>Austria</v>
      </c>
    </row>
    <row r="15" spans="1:7" x14ac:dyDescent="0.25">
      <c r="A15" t="s">
        <v>40</v>
      </c>
      <c r="B15">
        <v>8.1210000000000004</v>
      </c>
      <c r="C15">
        <v>10.170999999999999</v>
      </c>
      <c r="D15">
        <v>-2.0499999999999998</v>
      </c>
      <c r="G15" t="str">
        <f t="shared" si="0"/>
        <v>Azerbaiyán</v>
      </c>
    </row>
    <row r="16" spans="1:7" x14ac:dyDescent="0.25">
      <c r="A16" t="s">
        <v>96</v>
      </c>
      <c r="B16">
        <v>5.1440000000000001</v>
      </c>
      <c r="C16" s="5">
        <v>2198</v>
      </c>
      <c r="D16">
        <v>2.9460000000000002</v>
      </c>
      <c r="G16" t="str">
        <f t="shared" si="0"/>
        <v>Bahamas</v>
      </c>
    </row>
    <row r="17" spans="1:7" x14ac:dyDescent="0.25">
      <c r="A17" t="s">
        <v>993</v>
      </c>
      <c r="B17">
        <v>15.53</v>
      </c>
      <c r="C17">
        <v>12.063000000000001</v>
      </c>
      <c r="D17">
        <v>3.468</v>
      </c>
      <c r="G17" t="str">
        <f t="shared" si="0"/>
        <v>Bahrein</v>
      </c>
    </row>
    <row r="18" spans="1:7" x14ac:dyDescent="0.25">
      <c r="A18" t="s">
        <v>123</v>
      </c>
      <c r="B18">
        <v>6.6520000000000001</v>
      </c>
      <c r="C18">
        <v>11.313000000000001</v>
      </c>
      <c r="D18">
        <v>-4.6609999999999996</v>
      </c>
      <c r="G18" t="str">
        <f t="shared" si="0"/>
        <v>Bangladesh</v>
      </c>
    </row>
    <row r="19" spans="1:7" x14ac:dyDescent="0.25">
      <c r="A19" t="s">
        <v>92</v>
      </c>
      <c r="B19">
        <v>1.5229999999999999</v>
      </c>
      <c r="C19">
        <v>687</v>
      </c>
      <c r="D19">
        <v>836</v>
      </c>
      <c r="G19" t="str">
        <f t="shared" si="0"/>
        <v>Barbados</v>
      </c>
    </row>
    <row r="20" spans="1:7" x14ac:dyDescent="0.25">
      <c r="A20" t="s">
        <v>24</v>
      </c>
      <c r="B20">
        <v>148.18199999999999</v>
      </c>
      <c r="C20">
        <v>158.99299999999999</v>
      </c>
      <c r="D20">
        <v>-10.811</v>
      </c>
      <c r="G20" t="str">
        <f t="shared" si="0"/>
        <v>Bélgica</v>
      </c>
    </row>
    <row r="21" spans="1:7" x14ac:dyDescent="0.25">
      <c r="A21" t="s">
        <v>93</v>
      </c>
      <c r="B21">
        <v>1.048</v>
      </c>
      <c r="C21">
        <v>308</v>
      </c>
      <c r="D21">
        <v>740</v>
      </c>
      <c r="G21" t="str">
        <f t="shared" si="0"/>
        <v>Belice</v>
      </c>
    </row>
    <row r="22" spans="1:7" x14ac:dyDescent="0.25">
      <c r="A22" t="s">
        <v>995</v>
      </c>
      <c r="B22">
        <v>552</v>
      </c>
      <c r="C22">
        <v>940</v>
      </c>
      <c r="D22">
        <v>-388</v>
      </c>
      <c r="G22" t="str">
        <f t="shared" si="0"/>
        <v>Benin</v>
      </c>
    </row>
    <row r="23" spans="1:7" x14ac:dyDescent="0.25">
      <c r="A23" t="s">
        <v>68</v>
      </c>
      <c r="B23">
        <v>1.1259999999999999</v>
      </c>
      <c r="C23">
        <v>840</v>
      </c>
      <c r="D23">
        <v>287</v>
      </c>
      <c r="G23" t="str">
        <f t="shared" si="0"/>
        <v>Bermudas</v>
      </c>
    </row>
    <row r="24" spans="1:7" x14ac:dyDescent="0.25">
      <c r="A24" t="s">
        <v>34</v>
      </c>
      <c r="B24">
        <v>9.8889999999999993</v>
      </c>
      <c r="C24">
        <v>6.4820000000000002</v>
      </c>
      <c r="D24">
        <v>3.407</v>
      </c>
      <c r="G24" t="str">
        <f t="shared" si="0"/>
        <v>Bielorrusia</v>
      </c>
    </row>
    <row r="25" spans="1:7" x14ac:dyDescent="0.25">
      <c r="A25" t="s">
        <v>32</v>
      </c>
      <c r="B25">
        <v>1.111</v>
      </c>
      <c r="C25">
        <v>2.456</v>
      </c>
      <c r="D25">
        <v>-1.345</v>
      </c>
      <c r="G25" t="str">
        <f t="shared" si="0"/>
        <v>Bolivia</v>
      </c>
    </row>
    <row r="26" spans="1:7" x14ac:dyDescent="0.25">
      <c r="A26" t="s">
        <v>63</v>
      </c>
      <c r="B26">
        <v>3.5550000000000002</v>
      </c>
      <c r="C26">
        <v>1.125</v>
      </c>
      <c r="D26">
        <v>2.4300000000000002</v>
      </c>
      <c r="G26" t="str">
        <f t="shared" si="0"/>
        <v>Bosnia y Herzegovina</v>
      </c>
    </row>
    <row r="27" spans="1:7" x14ac:dyDescent="0.25">
      <c r="A27" t="s">
        <v>22</v>
      </c>
      <c r="B27">
        <v>641</v>
      </c>
      <c r="C27">
        <v>1.0149999999999999</v>
      </c>
      <c r="D27">
        <v>-374</v>
      </c>
      <c r="G27" t="str">
        <f t="shared" si="0"/>
        <v>Botsuana</v>
      </c>
    </row>
    <row r="28" spans="1:7" x14ac:dyDescent="0.25">
      <c r="A28" t="s">
        <v>74</v>
      </c>
      <c r="B28">
        <v>48.476999999999997</v>
      </c>
      <c r="C28">
        <v>103.036</v>
      </c>
      <c r="D28">
        <v>-54.558999999999997</v>
      </c>
      <c r="G28" t="str">
        <f t="shared" si="0"/>
        <v>Brasil</v>
      </c>
    </row>
    <row r="29" spans="1:7" x14ac:dyDescent="0.25">
      <c r="A29" t="s">
        <v>1002</v>
      </c>
      <c r="B29">
        <v>340</v>
      </c>
      <c r="C29">
        <v>1.6419999999999999</v>
      </c>
      <c r="D29">
        <v>-1.302</v>
      </c>
      <c r="G29" t="str">
        <f t="shared" si="0"/>
        <v>Brunei</v>
      </c>
    </row>
    <row r="30" spans="1:7" x14ac:dyDescent="0.25">
      <c r="A30" t="s">
        <v>113</v>
      </c>
      <c r="B30">
        <v>16.626000000000001</v>
      </c>
      <c r="C30">
        <v>8.2050000000000001</v>
      </c>
      <c r="D30">
        <v>8.4209999999999994</v>
      </c>
      <c r="G30" t="str">
        <f t="shared" si="0"/>
        <v>Bulgaria</v>
      </c>
    </row>
    <row r="31" spans="1:7" x14ac:dyDescent="0.25">
      <c r="A31" t="s">
        <v>172</v>
      </c>
      <c r="B31">
        <v>621</v>
      </c>
      <c r="C31">
        <v>1.45</v>
      </c>
      <c r="D31">
        <v>-829</v>
      </c>
      <c r="G31" t="str">
        <f t="shared" si="0"/>
        <v>Burkina Faso</v>
      </c>
    </row>
    <row r="32" spans="1:7" x14ac:dyDescent="0.25">
      <c r="A32" t="s">
        <v>140</v>
      </c>
      <c r="B32">
        <v>119</v>
      </c>
      <c r="C32">
        <v>365</v>
      </c>
      <c r="D32">
        <v>-246</v>
      </c>
      <c r="G32" t="str">
        <f t="shared" si="0"/>
        <v>Burundi</v>
      </c>
    </row>
    <row r="33" spans="1:7" x14ac:dyDescent="0.25">
      <c r="A33" t="s">
        <v>206</v>
      </c>
      <c r="B33">
        <v>127</v>
      </c>
      <c r="C33">
        <v>323</v>
      </c>
      <c r="D33">
        <v>-196</v>
      </c>
      <c r="G33" t="str">
        <f t="shared" si="0"/>
        <v>Bután</v>
      </c>
    </row>
    <row r="34" spans="1:7" x14ac:dyDescent="0.25">
      <c r="A34" t="s">
        <v>184</v>
      </c>
      <c r="B34">
        <v>716</v>
      </c>
      <c r="C34">
        <v>278</v>
      </c>
      <c r="D34">
        <v>437</v>
      </c>
      <c r="G34" t="str">
        <f t="shared" si="0"/>
        <v>Cabo Verde</v>
      </c>
    </row>
    <row r="35" spans="1:7" x14ac:dyDescent="0.25">
      <c r="A35" t="s">
        <v>173</v>
      </c>
      <c r="B35">
        <v>4.1879999999999997</v>
      </c>
      <c r="C35">
        <v>2.87</v>
      </c>
      <c r="D35">
        <v>1.3180000000000001</v>
      </c>
      <c r="G35" t="str">
        <f t="shared" si="0"/>
        <v>Camboya</v>
      </c>
    </row>
    <row r="36" spans="1:7" x14ac:dyDescent="0.25">
      <c r="A36" t="s">
        <v>111</v>
      </c>
      <c r="B36">
        <v>2.008</v>
      </c>
      <c r="C36">
        <v>2.5539999999999998</v>
      </c>
      <c r="D36">
        <v>-545</v>
      </c>
      <c r="G36" t="str">
        <f t="shared" si="0"/>
        <v>Camerún</v>
      </c>
    </row>
    <row r="37" spans="1:7" x14ac:dyDescent="0.25">
      <c r="A37" t="s">
        <v>48</v>
      </c>
      <c r="B37">
        <v>159.07499999999999</v>
      </c>
      <c r="C37">
        <v>160.06100000000001</v>
      </c>
      <c r="D37">
        <v>-986</v>
      </c>
      <c r="G37" t="str">
        <f t="shared" si="0"/>
        <v>Canadá</v>
      </c>
    </row>
    <row r="38" spans="1:7" x14ac:dyDescent="0.25">
      <c r="A38" t="s">
        <v>186</v>
      </c>
      <c r="B38">
        <v>340</v>
      </c>
      <c r="C38">
        <v>199</v>
      </c>
      <c r="D38">
        <v>141</v>
      </c>
      <c r="G38" t="str">
        <f t="shared" si="0"/>
        <v>Chad</v>
      </c>
    </row>
    <row r="39" spans="1:7" x14ac:dyDescent="0.25">
      <c r="A39" t="s">
        <v>75</v>
      </c>
      <c r="B39">
        <v>11.957000000000001</v>
      </c>
      <c r="C39">
        <v>21.106000000000002</v>
      </c>
      <c r="D39">
        <v>-9.1489999999999991</v>
      </c>
      <c r="G39" t="str">
        <f t="shared" si="0"/>
        <v>Chile</v>
      </c>
    </row>
    <row r="40" spans="1:7" x14ac:dyDescent="0.25">
      <c r="A40" t="s">
        <v>170</v>
      </c>
      <c r="B40">
        <v>383.96</v>
      </c>
      <c r="C40">
        <v>612.97799999999995</v>
      </c>
      <c r="D40">
        <v>-229.018</v>
      </c>
      <c r="G40" t="str">
        <f t="shared" si="0"/>
        <v>China</v>
      </c>
    </row>
    <row r="41" spans="1:7" x14ac:dyDescent="0.25">
      <c r="A41" t="s">
        <v>136</v>
      </c>
      <c r="B41">
        <v>30.725000000000001</v>
      </c>
      <c r="C41">
        <v>22.003</v>
      </c>
      <c r="D41">
        <v>8.7219999999999995</v>
      </c>
      <c r="G41" t="str">
        <f t="shared" si="0"/>
        <v>Chipre</v>
      </c>
    </row>
    <row r="42" spans="1:7" x14ac:dyDescent="0.25">
      <c r="A42" t="s">
        <v>87</v>
      </c>
      <c r="B42">
        <v>17.78</v>
      </c>
      <c r="C42">
        <v>18.385999999999999</v>
      </c>
      <c r="D42">
        <v>-606</v>
      </c>
      <c r="G42" t="str">
        <f t="shared" si="0"/>
        <v>Colombia</v>
      </c>
    </row>
    <row r="43" spans="1:7" x14ac:dyDescent="0.25">
      <c r="A43" t="s">
        <v>137</v>
      </c>
      <c r="B43">
        <v>116</v>
      </c>
      <c r="C43">
        <v>205</v>
      </c>
      <c r="D43">
        <v>-89</v>
      </c>
      <c r="G43" t="str">
        <f t="shared" si="0"/>
        <v>Comoras</v>
      </c>
    </row>
    <row r="44" spans="1:7" x14ac:dyDescent="0.25">
      <c r="A44" t="s">
        <v>26</v>
      </c>
      <c r="B44">
        <v>138.953</v>
      </c>
      <c r="C44">
        <v>162.654</v>
      </c>
      <c r="D44">
        <v>-23.701000000000001</v>
      </c>
      <c r="G44" t="str">
        <f t="shared" si="0"/>
        <v>Corea del Sur</v>
      </c>
    </row>
    <row r="45" spans="1:7" x14ac:dyDescent="0.25">
      <c r="A45" t="s">
        <v>200</v>
      </c>
      <c r="B45">
        <v>913</v>
      </c>
      <c r="C45">
        <v>4.7249999999999996</v>
      </c>
      <c r="D45">
        <v>-3.8119999999999998</v>
      </c>
      <c r="G45" t="str">
        <f t="shared" si="0"/>
        <v>Costa de Marfil</v>
      </c>
    </row>
    <row r="46" spans="1:7" x14ac:dyDescent="0.25">
      <c r="A46" t="s">
        <v>160</v>
      </c>
      <c r="B46">
        <v>14.797000000000001</v>
      </c>
      <c r="C46">
        <v>6.3680000000000003</v>
      </c>
      <c r="D46">
        <v>8.4290000000000003</v>
      </c>
      <c r="G46" t="str">
        <f t="shared" si="0"/>
        <v>Costa Rica</v>
      </c>
    </row>
    <row r="47" spans="1:7" x14ac:dyDescent="0.25">
      <c r="A47" t="s">
        <v>117</v>
      </c>
      <c r="B47">
        <v>24.693999999999999</v>
      </c>
      <c r="C47">
        <v>8.3480000000000008</v>
      </c>
      <c r="D47">
        <v>16.346</v>
      </c>
      <c r="G47" t="str">
        <f t="shared" si="0"/>
        <v>Croacia</v>
      </c>
    </row>
    <row r="48" spans="1:7" x14ac:dyDescent="0.25">
      <c r="A48" t="s">
        <v>1844</v>
      </c>
      <c r="B48">
        <v>1.546</v>
      </c>
      <c r="C48">
        <v>935</v>
      </c>
      <c r="D48">
        <v>612</v>
      </c>
      <c r="G48" t="str">
        <f t="shared" si="0"/>
        <v>Curaçao</v>
      </c>
    </row>
    <row r="49" spans="1:7" x14ac:dyDescent="0.25">
      <c r="A49" t="s">
        <v>102</v>
      </c>
      <c r="B49">
        <v>127.10899999999999</v>
      </c>
      <c r="C49" s="5">
        <v>121197</v>
      </c>
      <c r="D49">
        <v>5.9119999999999999</v>
      </c>
      <c r="G49" t="str">
        <f t="shared" si="0"/>
        <v>Dinamarca</v>
      </c>
    </row>
    <row r="50" spans="1:7" x14ac:dyDescent="0.25">
      <c r="A50" t="s">
        <v>159</v>
      </c>
      <c r="B50">
        <v>163</v>
      </c>
      <c r="C50">
        <v>152</v>
      </c>
      <c r="D50">
        <v>11</v>
      </c>
      <c r="G50" t="str">
        <f t="shared" si="0"/>
        <v>Dominica</v>
      </c>
    </row>
    <row r="51" spans="1:7" x14ac:dyDescent="0.25">
      <c r="A51" t="s">
        <v>134</v>
      </c>
      <c r="B51">
        <v>4.2030000000000003</v>
      </c>
      <c r="C51">
        <v>6.1440000000000001</v>
      </c>
      <c r="D51">
        <v>-1.94</v>
      </c>
      <c r="G51" t="str">
        <f t="shared" si="0"/>
        <v>Ecuador</v>
      </c>
    </row>
    <row r="52" spans="1:7" x14ac:dyDescent="0.25">
      <c r="A52" t="s">
        <v>154</v>
      </c>
      <c r="B52">
        <v>33.649000000000001</v>
      </c>
      <c r="C52">
        <v>22.004999999999999</v>
      </c>
      <c r="D52">
        <v>11.643000000000001</v>
      </c>
      <c r="G52" t="str">
        <f t="shared" si="0"/>
        <v>Egipto</v>
      </c>
    </row>
    <row r="53" spans="1:7" x14ac:dyDescent="0.25">
      <c r="A53" t="s">
        <v>131</v>
      </c>
      <c r="B53">
        <v>6</v>
      </c>
      <c r="C53">
        <v>3.2589999999999999</v>
      </c>
      <c r="D53">
        <v>2.7410000000000001</v>
      </c>
      <c r="G53" t="str">
        <f t="shared" si="0"/>
        <v>El Salvador</v>
      </c>
    </row>
    <row r="54" spans="1:7" x14ac:dyDescent="0.25">
      <c r="A54" t="s">
        <v>98</v>
      </c>
      <c r="B54">
        <v>61</v>
      </c>
      <c r="C54">
        <v>28</v>
      </c>
      <c r="D54">
        <v>32</v>
      </c>
      <c r="G54" t="str">
        <f t="shared" si="0"/>
        <v>Eritrea</v>
      </c>
    </row>
    <row r="55" spans="1:7" x14ac:dyDescent="0.25">
      <c r="A55" t="s">
        <v>20</v>
      </c>
      <c r="B55">
        <v>13.561999999999999</v>
      </c>
      <c r="C55">
        <v>12.343</v>
      </c>
      <c r="D55">
        <v>1.2190000000000001</v>
      </c>
      <c r="G55" t="str">
        <f t="shared" si="0"/>
        <v>Eslovaquia</v>
      </c>
    </row>
    <row r="56" spans="1:7" x14ac:dyDescent="0.25">
      <c r="A56" t="s">
        <v>27</v>
      </c>
      <c r="B56">
        <v>13.522</v>
      </c>
      <c r="C56">
        <v>9.5909999999999993</v>
      </c>
      <c r="D56">
        <v>3.931</v>
      </c>
      <c r="G56" t="str">
        <f t="shared" si="0"/>
        <v>Eslovenia</v>
      </c>
    </row>
    <row r="57" spans="1:7" x14ac:dyDescent="0.25">
      <c r="A57" t="s">
        <v>95</v>
      </c>
      <c r="B57">
        <v>220.37200000000001</v>
      </c>
      <c r="C57">
        <v>111.559</v>
      </c>
      <c r="D57">
        <v>108.813</v>
      </c>
      <c r="G57" t="str">
        <f t="shared" si="0"/>
        <v>España</v>
      </c>
    </row>
    <row r="58" spans="1:7" x14ac:dyDescent="0.25">
      <c r="A58" t="s">
        <v>1847</v>
      </c>
      <c r="B58">
        <v>38</v>
      </c>
      <c r="C58">
        <v>77</v>
      </c>
      <c r="D58">
        <v>-39</v>
      </c>
      <c r="G58" t="str">
        <f t="shared" si="0"/>
        <v>Estados Federados de Micronesia</v>
      </c>
    </row>
    <row r="59" spans="1:7" x14ac:dyDescent="0.25">
      <c r="A59" t="s">
        <v>69</v>
      </c>
      <c r="B59" t="s">
        <v>640</v>
      </c>
      <c r="C59">
        <v>812.20399999999995</v>
      </c>
      <c r="D59">
        <v>295.15499999999997</v>
      </c>
      <c r="G59" t="str">
        <f t="shared" si="0"/>
        <v>Estados Unidos</v>
      </c>
    </row>
    <row r="60" spans="1:7" x14ac:dyDescent="0.25">
      <c r="A60" t="s">
        <v>13</v>
      </c>
      <c r="B60">
        <v>13.513999999999999</v>
      </c>
      <c r="C60">
        <v>9.8569999999999993</v>
      </c>
      <c r="D60">
        <v>2.8159999999999998</v>
      </c>
      <c r="G60" t="str">
        <f t="shared" si="0"/>
        <v>Estonia</v>
      </c>
    </row>
    <row r="61" spans="1:7" x14ac:dyDescent="0.25">
      <c r="A61" t="s">
        <v>1016</v>
      </c>
      <c r="B61">
        <v>145</v>
      </c>
      <c r="C61">
        <v>489</v>
      </c>
      <c r="D61">
        <v>-344</v>
      </c>
      <c r="G61" t="str">
        <f t="shared" si="0"/>
        <v>Eswatini</v>
      </c>
    </row>
    <row r="62" spans="1:7" x14ac:dyDescent="0.25">
      <c r="A62" t="s">
        <v>218</v>
      </c>
      <c r="B62">
        <v>7.3959999999999999</v>
      </c>
      <c r="C62">
        <v>7.633</v>
      </c>
      <c r="D62">
        <v>-237</v>
      </c>
      <c r="G62" t="str">
        <f t="shared" si="0"/>
        <v>Etiopía</v>
      </c>
    </row>
    <row r="63" spans="1:7" x14ac:dyDescent="0.25">
      <c r="A63" t="s">
        <v>155</v>
      </c>
      <c r="B63">
        <v>51.978000000000002</v>
      </c>
      <c r="C63">
        <v>37.398000000000003</v>
      </c>
      <c r="D63">
        <v>14.58</v>
      </c>
      <c r="G63" t="str">
        <f t="shared" si="0"/>
        <v>Filipinas</v>
      </c>
    </row>
    <row r="64" spans="1:7" x14ac:dyDescent="0.25">
      <c r="A64" t="s">
        <v>3</v>
      </c>
      <c r="B64">
        <v>41.219000000000001</v>
      </c>
      <c r="C64">
        <v>46.725999999999999</v>
      </c>
      <c r="D64">
        <v>-5.5069999999999997</v>
      </c>
      <c r="G64" t="str">
        <f t="shared" si="0"/>
        <v>Finlandia</v>
      </c>
    </row>
    <row r="65" spans="1:7" x14ac:dyDescent="0.25">
      <c r="A65" t="s">
        <v>118</v>
      </c>
      <c r="B65">
        <v>1.329</v>
      </c>
      <c r="C65">
        <v>754</v>
      </c>
      <c r="D65">
        <v>574</v>
      </c>
      <c r="G65" t="str">
        <f t="shared" si="0"/>
        <v>Fiyi</v>
      </c>
    </row>
    <row r="66" spans="1:7" x14ac:dyDescent="0.25">
      <c r="A66" t="s">
        <v>23</v>
      </c>
      <c r="B66">
        <v>400.10399999999998</v>
      </c>
      <c r="C66">
        <v>340.43599999999998</v>
      </c>
      <c r="D66">
        <v>59.667999999999999</v>
      </c>
      <c r="G66" t="str">
        <f t="shared" si="0"/>
        <v>Francia</v>
      </c>
    </row>
    <row r="67" spans="1:7" x14ac:dyDescent="0.25">
      <c r="A67" t="s">
        <v>84</v>
      </c>
      <c r="B67">
        <v>277</v>
      </c>
      <c r="C67">
        <v>852</v>
      </c>
      <c r="D67">
        <v>-575</v>
      </c>
      <c r="G67" t="str">
        <f t="shared" ref="G67:G130" si="1">TRIM(SUBSTITUTE(A67,CHAR(160),""))</f>
        <v>Gabón</v>
      </c>
    </row>
    <row r="68" spans="1:7" x14ac:dyDescent="0.25">
      <c r="A68" t="s">
        <v>194</v>
      </c>
      <c r="B68">
        <v>357</v>
      </c>
      <c r="C68">
        <v>153</v>
      </c>
      <c r="D68">
        <v>204</v>
      </c>
      <c r="G68" t="str">
        <f t="shared" si="1"/>
        <v>Gambia</v>
      </c>
    </row>
    <row r="69" spans="1:7" x14ac:dyDescent="0.25">
      <c r="A69" t="s">
        <v>209</v>
      </c>
      <c r="B69">
        <v>7.7</v>
      </c>
      <c r="C69">
        <v>3.8220000000000001</v>
      </c>
      <c r="D69">
        <v>3.8780000000000001</v>
      </c>
      <c r="G69" t="str">
        <f t="shared" si="1"/>
        <v>Georgia</v>
      </c>
    </row>
    <row r="70" spans="1:7" x14ac:dyDescent="0.25">
      <c r="A70" t="s">
        <v>193</v>
      </c>
      <c r="B70">
        <v>8.6620000000000008</v>
      </c>
      <c r="C70">
        <v>12.015000000000001</v>
      </c>
      <c r="D70">
        <v>-3.3530000000000002</v>
      </c>
      <c r="G70" t="str">
        <f t="shared" si="1"/>
        <v>Ghana</v>
      </c>
    </row>
    <row r="71" spans="1:7" x14ac:dyDescent="0.25">
      <c r="A71" t="s">
        <v>156</v>
      </c>
      <c r="B71">
        <v>755</v>
      </c>
      <c r="C71">
        <v>390</v>
      </c>
      <c r="D71">
        <v>365</v>
      </c>
      <c r="G71" t="str">
        <f t="shared" si="1"/>
        <v>Granada</v>
      </c>
    </row>
    <row r="72" spans="1:7" x14ac:dyDescent="0.25">
      <c r="A72" t="s">
        <v>65</v>
      </c>
      <c r="B72">
        <v>55.808999999999997</v>
      </c>
      <c r="C72">
        <v>31.213000000000001</v>
      </c>
      <c r="D72">
        <v>24.596</v>
      </c>
      <c r="G72" t="str">
        <f t="shared" si="1"/>
        <v>Grecia</v>
      </c>
    </row>
    <row r="73" spans="1:7" x14ac:dyDescent="0.25">
      <c r="A73" t="s">
        <v>144</v>
      </c>
      <c r="B73">
        <v>4.6680000000000001</v>
      </c>
      <c r="C73">
        <v>6.4450000000000003</v>
      </c>
      <c r="D73">
        <v>-1.7769999999999999</v>
      </c>
      <c r="G73" t="str">
        <f t="shared" si="1"/>
        <v>Guatemala</v>
      </c>
    </row>
    <row r="74" spans="1:7" x14ac:dyDescent="0.25">
      <c r="A74" t="s">
        <v>201</v>
      </c>
      <c r="B74">
        <v>143</v>
      </c>
      <c r="C74">
        <v>3.2829999999999999</v>
      </c>
      <c r="D74">
        <v>-3.14</v>
      </c>
      <c r="G74" t="str">
        <f t="shared" si="1"/>
        <v>Guinea</v>
      </c>
    </row>
    <row r="75" spans="1:7" x14ac:dyDescent="0.25">
      <c r="A75" t="s">
        <v>198</v>
      </c>
      <c r="B75">
        <v>5</v>
      </c>
      <c r="C75">
        <v>185</v>
      </c>
      <c r="D75">
        <v>-180</v>
      </c>
      <c r="G75" t="str">
        <f t="shared" si="1"/>
        <v>Guinea Ecuatorial</v>
      </c>
    </row>
    <row r="76" spans="1:7" x14ac:dyDescent="0.25">
      <c r="A76" t="s">
        <v>1025</v>
      </c>
      <c r="B76">
        <v>35</v>
      </c>
      <c r="C76">
        <v>179</v>
      </c>
      <c r="D76">
        <v>-144</v>
      </c>
      <c r="G76" t="str">
        <f t="shared" si="1"/>
        <v>Guinea-Bissau</v>
      </c>
    </row>
    <row r="77" spans="1:7" x14ac:dyDescent="0.25">
      <c r="A77" t="s">
        <v>62</v>
      </c>
      <c r="B77">
        <v>529</v>
      </c>
      <c r="C77">
        <v>4.9539999999999997</v>
      </c>
      <c r="D77">
        <v>-4.4249999999999998</v>
      </c>
      <c r="G77" t="str">
        <f t="shared" si="1"/>
        <v>Guyana</v>
      </c>
    </row>
    <row r="78" spans="1:7" x14ac:dyDescent="0.25">
      <c r="A78" t="s">
        <v>91</v>
      </c>
      <c r="B78">
        <v>139</v>
      </c>
      <c r="C78">
        <v>588</v>
      </c>
      <c r="D78">
        <v>-449</v>
      </c>
      <c r="G78" t="str">
        <f t="shared" si="1"/>
        <v>Haití</v>
      </c>
    </row>
    <row r="79" spans="1:7" x14ac:dyDescent="0.25">
      <c r="A79" t="s">
        <v>132</v>
      </c>
      <c r="B79">
        <v>3.661</v>
      </c>
      <c r="C79">
        <v>3.448</v>
      </c>
      <c r="D79">
        <v>212</v>
      </c>
      <c r="G79" t="str">
        <f t="shared" si="1"/>
        <v>Honduras</v>
      </c>
    </row>
    <row r="80" spans="1:7" x14ac:dyDescent="0.25">
      <c r="A80" t="s">
        <v>124</v>
      </c>
      <c r="B80">
        <v>108.76300000000001</v>
      </c>
      <c r="C80">
        <v>90.278999999999996</v>
      </c>
      <c r="D80">
        <v>18.484000000000002</v>
      </c>
      <c r="G80" t="str">
        <f t="shared" si="1"/>
        <v>Hong Kong</v>
      </c>
    </row>
    <row r="81" spans="1:7" x14ac:dyDescent="0.25">
      <c r="A81" t="s">
        <v>6</v>
      </c>
      <c r="B81">
        <v>38.302999999999997</v>
      </c>
      <c r="C81">
        <v>27.393999999999998</v>
      </c>
      <c r="D81">
        <v>10.909000000000001</v>
      </c>
      <c r="G81" t="str">
        <f t="shared" si="1"/>
        <v>Hungría</v>
      </c>
    </row>
    <row r="82" spans="1:7" x14ac:dyDescent="0.25">
      <c r="A82" t="s">
        <v>212</v>
      </c>
      <c r="B82">
        <v>374.87900000000002</v>
      </c>
      <c r="C82">
        <v>196.67699999999999</v>
      </c>
      <c r="D82">
        <v>178.202</v>
      </c>
      <c r="G82" t="str">
        <f t="shared" si="1"/>
        <v>India</v>
      </c>
    </row>
    <row r="83" spans="1:7" x14ac:dyDescent="0.25">
      <c r="A83" t="s">
        <v>180</v>
      </c>
      <c r="B83">
        <v>39.029000000000003</v>
      </c>
      <c r="C83">
        <v>57.511000000000003</v>
      </c>
      <c r="D83">
        <v>-18.481999999999999</v>
      </c>
      <c r="G83" t="str">
        <f t="shared" si="1"/>
        <v>Indonesia</v>
      </c>
    </row>
    <row r="84" spans="1:7" x14ac:dyDescent="0.25">
      <c r="A84" t="s">
        <v>44</v>
      </c>
      <c r="B84">
        <v>1.3819999999999999</v>
      </c>
      <c r="C84">
        <v>2.2959999999999998</v>
      </c>
      <c r="D84">
        <v>-914</v>
      </c>
      <c r="G84" t="str">
        <f t="shared" si="1"/>
        <v>Irán</v>
      </c>
    </row>
    <row r="85" spans="1:7" x14ac:dyDescent="0.25">
      <c r="A85" t="s">
        <v>1027</v>
      </c>
      <c r="B85">
        <v>8.7029999999999994</v>
      </c>
      <c r="C85">
        <v>25.227</v>
      </c>
      <c r="D85">
        <v>-16.524000000000001</v>
      </c>
      <c r="G85" t="str">
        <f t="shared" si="1"/>
        <v>Iraq</v>
      </c>
    </row>
    <row r="86" spans="1:7" x14ac:dyDescent="0.25">
      <c r="A86" t="s">
        <v>58</v>
      </c>
      <c r="B86">
        <v>431.46800000000002</v>
      </c>
      <c r="C86">
        <v>418.63299999999998</v>
      </c>
      <c r="D86">
        <v>12.835000000000001</v>
      </c>
      <c r="G86" t="str">
        <f t="shared" si="1"/>
        <v>Irlanda</v>
      </c>
    </row>
    <row r="87" spans="1:7" x14ac:dyDescent="0.25">
      <c r="A87" t="s">
        <v>36</v>
      </c>
      <c r="B87">
        <v>6.8979999999999997</v>
      </c>
      <c r="C87">
        <v>5.0019999999999998</v>
      </c>
      <c r="D87">
        <v>1.8959999999999999</v>
      </c>
      <c r="G87" t="str">
        <f t="shared" si="1"/>
        <v>Islandia</v>
      </c>
    </row>
    <row r="88" spans="1:7" x14ac:dyDescent="0.25">
      <c r="A88" t="s">
        <v>151</v>
      </c>
      <c r="B88">
        <v>4.0460000000000003</v>
      </c>
      <c r="C88">
        <v>1.679</v>
      </c>
      <c r="D88">
        <v>2.367</v>
      </c>
      <c r="G88" t="str">
        <f t="shared" si="1"/>
        <v>Islas Caimán</v>
      </c>
    </row>
    <row r="89" spans="1:7" x14ac:dyDescent="0.25">
      <c r="A89" t="s">
        <v>82</v>
      </c>
      <c r="B89">
        <v>207</v>
      </c>
      <c r="C89">
        <v>394</v>
      </c>
      <c r="D89">
        <v>-187</v>
      </c>
      <c r="G89" t="str">
        <f t="shared" si="1"/>
        <v>Islas Feroe</v>
      </c>
    </row>
    <row r="90" spans="1:7" x14ac:dyDescent="0.25">
      <c r="A90" t="s">
        <v>85</v>
      </c>
      <c r="B90">
        <v>9</v>
      </c>
      <c r="C90">
        <v>73</v>
      </c>
      <c r="D90">
        <v>-64</v>
      </c>
      <c r="G90" t="str">
        <f t="shared" si="1"/>
        <v>Islas Marshall</v>
      </c>
    </row>
    <row r="91" spans="1:7" x14ac:dyDescent="0.25">
      <c r="A91" t="s">
        <v>88</v>
      </c>
      <c r="B91">
        <v>115</v>
      </c>
      <c r="C91">
        <v>254</v>
      </c>
      <c r="D91">
        <v>-139</v>
      </c>
      <c r="G91" t="str">
        <f t="shared" si="1"/>
        <v>Islas Salomón</v>
      </c>
    </row>
    <row r="92" spans="1:7" x14ac:dyDescent="0.25">
      <c r="A92" t="s">
        <v>187</v>
      </c>
      <c r="B92">
        <v>821</v>
      </c>
      <c r="C92">
        <v>74</v>
      </c>
      <c r="D92">
        <v>747</v>
      </c>
      <c r="G92" t="str">
        <f t="shared" si="1"/>
        <v>Islas Turcas y Caicos</v>
      </c>
    </row>
    <row r="93" spans="1:7" x14ac:dyDescent="0.25">
      <c r="A93" t="s">
        <v>103</v>
      </c>
      <c r="B93">
        <v>83.042000000000002</v>
      </c>
      <c r="C93">
        <v>43.908000000000001</v>
      </c>
      <c r="D93">
        <v>39.478000000000002</v>
      </c>
      <c r="G93" t="str">
        <f t="shared" si="1"/>
        <v>Israel</v>
      </c>
    </row>
    <row r="94" spans="1:7" x14ac:dyDescent="0.25">
      <c r="A94" t="s">
        <v>10</v>
      </c>
      <c r="B94">
        <v>155.27099999999999</v>
      </c>
      <c r="C94">
        <v>162.798</v>
      </c>
      <c r="D94">
        <v>-7.5270000000000001</v>
      </c>
      <c r="G94" t="str">
        <f t="shared" si="1"/>
        <v>Italia</v>
      </c>
    </row>
    <row r="95" spans="1:7" x14ac:dyDescent="0.25">
      <c r="A95" t="s">
        <v>2</v>
      </c>
      <c r="B95">
        <v>5.2560000000000002</v>
      </c>
      <c r="C95">
        <v>3.4569999999999999</v>
      </c>
      <c r="D95">
        <v>1.7989999999999999</v>
      </c>
      <c r="G95" t="str">
        <f t="shared" si="1"/>
        <v>Jamaica</v>
      </c>
    </row>
    <row r="96" spans="1:7" x14ac:dyDescent="0.25">
      <c r="A96" t="s">
        <v>31</v>
      </c>
      <c r="B96">
        <v>227.965</v>
      </c>
      <c r="C96">
        <v>246.31</v>
      </c>
      <c r="D96">
        <v>-18.344999999999999</v>
      </c>
      <c r="G96" t="str">
        <f t="shared" si="1"/>
        <v>Japón</v>
      </c>
    </row>
    <row r="97" spans="1:7" x14ac:dyDescent="0.25">
      <c r="A97" t="s">
        <v>89</v>
      </c>
      <c r="B97">
        <v>9.6340000000000003</v>
      </c>
      <c r="C97">
        <v>6.0039999999999996</v>
      </c>
      <c r="D97">
        <v>3.63</v>
      </c>
      <c r="G97" t="str">
        <f t="shared" si="1"/>
        <v>Jordania</v>
      </c>
    </row>
    <row r="98" spans="1:7" x14ac:dyDescent="0.25">
      <c r="A98" t="s">
        <v>1035</v>
      </c>
      <c r="B98">
        <v>11.827999999999999</v>
      </c>
      <c r="C98">
        <v>13.048999999999999</v>
      </c>
      <c r="D98">
        <v>-1.2210000000000001</v>
      </c>
      <c r="G98" t="str">
        <f t="shared" si="1"/>
        <v>Kazajstán</v>
      </c>
    </row>
    <row r="99" spans="1:7" x14ac:dyDescent="0.25">
      <c r="A99" t="s">
        <v>165</v>
      </c>
      <c r="B99">
        <v>5.4050000000000002</v>
      </c>
      <c r="C99">
        <v>4.8029999999999999</v>
      </c>
      <c r="D99">
        <v>602</v>
      </c>
      <c r="G99" t="str">
        <f t="shared" si="1"/>
        <v>Kenia</v>
      </c>
    </row>
    <row r="100" spans="1:7" x14ac:dyDescent="0.25">
      <c r="A100" t="s">
        <v>57</v>
      </c>
      <c r="B100">
        <v>1.375</v>
      </c>
      <c r="C100">
        <v>1.4830000000000001</v>
      </c>
      <c r="D100">
        <v>-109</v>
      </c>
      <c r="G100" t="str">
        <f t="shared" si="1"/>
        <v>Kirguistán</v>
      </c>
    </row>
    <row r="101" spans="1:7" x14ac:dyDescent="0.25">
      <c r="A101" t="s">
        <v>149</v>
      </c>
      <c r="B101">
        <v>9</v>
      </c>
      <c r="C101">
        <v>101</v>
      </c>
      <c r="D101">
        <v>-92</v>
      </c>
      <c r="G101" t="str">
        <f t="shared" si="1"/>
        <v>Kiribati</v>
      </c>
    </row>
    <row r="102" spans="1:7" x14ac:dyDescent="0.25">
      <c r="A102" t="s">
        <v>1843</v>
      </c>
      <c r="B102">
        <v>3.214</v>
      </c>
      <c r="C102">
        <v>1.448</v>
      </c>
      <c r="D102">
        <v>1.766</v>
      </c>
      <c r="G102" t="str">
        <f t="shared" si="1"/>
        <v>Kosovo</v>
      </c>
    </row>
    <row r="103" spans="1:7" x14ac:dyDescent="0.25">
      <c r="A103" t="s">
        <v>122</v>
      </c>
      <c r="B103">
        <v>11.302</v>
      </c>
      <c r="C103">
        <v>30.402000000000001</v>
      </c>
      <c r="D103">
        <v>-19.100999999999999</v>
      </c>
      <c r="G103" t="str">
        <f t="shared" si="1"/>
        <v>Kuwait</v>
      </c>
    </row>
    <row r="104" spans="1:7" x14ac:dyDescent="0.25">
      <c r="A104" t="s">
        <v>163</v>
      </c>
      <c r="B104">
        <v>1.327</v>
      </c>
      <c r="C104">
        <v>947</v>
      </c>
      <c r="D104">
        <v>380</v>
      </c>
      <c r="G104" t="str">
        <f t="shared" si="1"/>
        <v>Laos</v>
      </c>
    </row>
    <row r="105" spans="1:7" x14ac:dyDescent="0.25">
      <c r="A105" t="s">
        <v>1039</v>
      </c>
      <c r="B105">
        <v>17</v>
      </c>
      <c r="C105">
        <v>415</v>
      </c>
      <c r="D105">
        <v>-398</v>
      </c>
      <c r="G105" t="str">
        <f t="shared" si="1"/>
        <v>Lesotho</v>
      </c>
    </row>
    <row r="106" spans="1:7" x14ac:dyDescent="0.25">
      <c r="A106" t="s">
        <v>71</v>
      </c>
      <c r="B106">
        <v>8.1240000000000006</v>
      </c>
      <c r="C106">
        <v>5.7560000000000002</v>
      </c>
      <c r="D106">
        <v>2.3679999999999999</v>
      </c>
      <c r="G106" t="str">
        <f t="shared" si="1"/>
        <v>Letonia</v>
      </c>
    </row>
    <row r="107" spans="1:7" x14ac:dyDescent="0.25">
      <c r="A107" t="s">
        <v>142</v>
      </c>
      <c r="B107">
        <v>7.9219999999999997</v>
      </c>
      <c r="C107">
        <v>6.6260000000000003</v>
      </c>
      <c r="D107">
        <v>1.296</v>
      </c>
      <c r="G107" t="str">
        <f t="shared" si="1"/>
        <v>Líbano</v>
      </c>
    </row>
    <row r="108" spans="1:7" x14ac:dyDescent="0.25">
      <c r="A108" t="s">
        <v>181</v>
      </c>
      <c r="B108">
        <v>192</v>
      </c>
      <c r="C108">
        <v>434</v>
      </c>
      <c r="D108">
        <v>-242</v>
      </c>
      <c r="G108" t="str">
        <f t="shared" si="1"/>
        <v>Liberia</v>
      </c>
    </row>
    <row r="109" spans="1:7" x14ac:dyDescent="0.25">
      <c r="A109" t="s">
        <v>59</v>
      </c>
      <c r="B109">
        <v>83</v>
      </c>
      <c r="C109">
        <v>8.4489999999999998</v>
      </c>
      <c r="D109">
        <v>-8.3659999999999997</v>
      </c>
      <c r="G109" t="str">
        <f t="shared" si="1"/>
        <v>Libia</v>
      </c>
    </row>
    <row r="110" spans="1:7" x14ac:dyDescent="0.25">
      <c r="A110" t="s">
        <v>101</v>
      </c>
      <c r="B110" t="s">
        <v>641</v>
      </c>
      <c r="C110">
        <v>14.683</v>
      </c>
      <c r="D110">
        <v>9.5139999999999993</v>
      </c>
      <c r="G110" t="str">
        <f t="shared" si="1"/>
        <v>Lituania</v>
      </c>
    </row>
    <row r="111" spans="1:7" x14ac:dyDescent="0.25">
      <c r="A111" t="s">
        <v>16</v>
      </c>
      <c r="B111">
        <v>171.24199999999999</v>
      </c>
      <c r="C111">
        <v>130.65899999999999</v>
      </c>
      <c r="D111">
        <v>40.582999999999998</v>
      </c>
      <c r="G111" t="str">
        <f t="shared" si="1"/>
        <v>Luxemburgo</v>
      </c>
    </row>
    <row r="112" spans="1:7" x14ac:dyDescent="0.25">
      <c r="A112" t="s">
        <v>162</v>
      </c>
      <c r="B112">
        <v>36.183999999999997</v>
      </c>
      <c r="C112">
        <v>5.4370000000000003</v>
      </c>
      <c r="D112">
        <v>30.748000000000001</v>
      </c>
      <c r="G112" t="str">
        <f t="shared" si="1"/>
        <v>Macao</v>
      </c>
    </row>
    <row r="113" spans="1:7" x14ac:dyDescent="0.25">
      <c r="A113" t="s">
        <v>125</v>
      </c>
      <c r="B113">
        <v>2.867</v>
      </c>
      <c r="C113">
        <v>2.0760000000000001</v>
      </c>
      <c r="D113">
        <v>791</v>
      </c>
      <c r="G113" t="str">
        <f t="shared" si="1"/>
        <v>Macedonia del Norte</v>
      </c>
    </row>
    <row r="114" spans="1:7" x14ac:dyDescent="0.25">
      <c r="A114" t="s">
        <v>100</v>
      </c>
      <c r="B114">
        <v>1.1419999999999999</v>
      </c>
      <c r="C114">
        <v>1.524</v>
      </c>
      <c r="D114">
        <v>-382</v>
      </c>
      <c r="G114" t="str">
        <f t="shared" si="1"/>
        <v>Madagascar</v>
      </c>
    </row>
    <row r="115" spans="1:7" x14ac:dyDescent="0.25">
      <c r="A115" t="s">
        <v>182</v>
      </c>
      <c r="B115">
        <v>53.402000000000001</v>
      </c>
      <c r="C115">
        <v>56.37</v>
      </c>
      <c r="D115">
        <v>-2.968</v>
      </c>
      <c r="G115" t="str">
        <f t="shared" si="1"/>
        <v>Malasia</v>
      </c>
    </row>
    <row r="116" spans="1:7" x14ac:dyDescent="0.25">
      <c r="A116" t="s">
        <v>1044</v>
      </c>
      <c r="B116">
        <v>475</v>
      </c>
      <c r="C116">
        <v>998</v>
      </c>
      <c r="D116">
        <v>-524</v>
      </c>
      <c r="G116" t="str">
        <f t="shared" si="1"/>
        <v>Malawi</v>
      </c>
    </row>
    <row r="117" spans="1:7" x14ac:dyDescent="0.25">
      <c r="A117" t="s">
        <v>176</v>
      </c>
      <c r="B117">
        <v>5.03</v>
      </c>
      <c r="C117">
        <v>1.885</v>
      </c>
      <c r="D117">
        <v>3.145</v>
      </c>
      <c r="G117" t="str">
        <f t="shared" si="1"/>
        <v>Maldivas</v>
      </c>
    </row>
    <row r="118" spans="1:7" x14ac:dyDescent="0.25">
      <c r="A118" t="s">
        <v>1045</v>
      </c>
      <c r="B118">
        <v>475</v>
      </c>
      <c r="C118">
        <v>2.3359999999999999</v>
      </c>
      <c r="D118">
        <v>-1.861</v>
      </c>
      <c r="G118" t="str">
        <f t="shared" si="1"/>
        <v>Mali</v>
      </c>
    </row>
    <row r="119" spans="1:7" x14ac:dyDescent="0.25">
      <c r="A119" t="s">
        <v>141</v>
      </c>
      <c r="B119">
        <v>24.663</v>
      </c>
      <c r="C119">
        <v>17.2</v>
      </c>
      <c r="D119">
        <v>7.4630000000000001</v>
      </c>
      <c r="G119" t="str">
        <f t="shared" si="1"/>
        <v>Malta</v>
      </c>
    </row>
    <row r="120" spans="1:7" x14ac:dyDescent="0.25">
      <c r="A120" t="s">
        <v>167</v>
      </c>
      <c r="B120">
        <v>25.451000000000001</v>
      </c>
      <c r="C120">
        <v>12.351000000000001</v>
      </c>
      <c r="D120">
        <v>13.1</v>
      </c>
      <c r="G120" t="str">
        <f t="shared" si="1"/>
        <v>Marruecos</v>
      </c>
    </row>
    <row r="121" spans="1:7" x14ac:dyDescent="0.25">
      <c r="A121" t="s">
        <v>114</v>
      </c>
      <c r="B121">
        <v>4.0860000000000003</v>
      </c>
      <c r="C121">
        <v>2.1320000000000001</v>
      </c>
      <c r="D121">
        <v>1.954</v>
      </c>
      <c r="G121" t="str">
        <f t="shared" si="1"/>
        <v>Mauricio</v>
      </c>
    </row>
    <row r="122" spans="1:7" x14ac:dyDescent="0.25">
      <c r="A122" t="s">
        <v>148</v>
      </c>
      <c r="B122">
        <v>295</v>
      </c>
      <c r="C122">
        <v>956</v>
      </c>
      <c r="D122">
        <v>-660</v>
      </c>
      <c r="G122" t="str">
        <f t="shared" si="1"/>
        <v>Mauritania</v>
      </c>
    </row>
    <row r="123" spans="1:7" x14ac:dyDescent="0.25">
      <c r="A123" t="s">
        <v>12</v>
      </c>
      <c r="B123">
        <v>63.033999999999999</v>
      </c>
      <c r="C123">
        <v>71.055999999999997</v>
      </c>
      <c r="D123">
        <v>-8.0220000000000002</v>
      </c>
      <c r="G123" t="str">
        <f t="shared" si="1"/>
        <v>México</v>
      </c>
    </row>
    <row r="124" spans="1:7" x14ac:dyDescent="0.25">
      <c r="A124" t="s">
        <v>79</v>
      </c>
      <c r="B124">
        <v>2.4409999999999998</v>
      </c>
      <c r="C124">
        <v>1.546</v>
      </c>
      <c r="D124">
        <v>895</v>
      </c>
      <c r="G124" t="str">
        <f t="shared" si="1"/>
        <v>Moldavia</v>
      </c>
    </row>
    <row r="125" spans="1:7" x14ac:dyDescent="0.25">
      <c r="A125" t="s">
        <v>203</v>
      </c>
      <c r="B125">
        <v>1.587</v>
      </c>
      <c r="C125">
        <v>4.1790000000000003</v>
      </c>
      <c r="D125">
        <v>-2.5920000000000001</v>
      </c>
      <c r="G125" t="str">
        <f t="shared" si="1"/>
        <v>Mongolia</v>
      </c>
    </row>
    <row r="126" spans="1:7" x14ac:dyDescent="0.25">
      <c r="A126" t="s">
        <v>90</v>
      </c>
      <c r="B126">
        <v>2.9950000000000001</v>
      </c>
      <c r="C126">
        <v>1.1619999999999999</v>
      </c>
      <c r="D126">
        <v>1.833</v>
      </c>
      <c r="G126" t="str">
        <f t="shared" si="1"/>
        <v>Montenegro</v>
      </c>
    </row>
    <row r="127" spans="1:7" x14ac:dyDescent="0.25">
      <c r="A127" t="s">
        <v>9</v>
      </c>
      <c r="B127">
        <v>1.1279999999999999</v>
      </c>
      <c r="C127">
        <v>2</v>
      </c>
      <c r="D127">
        <v>-872</v>
      </c>
      <c r="G127" t="str">
        <f t="shared" si="1"/>
        <v>Mozambique</v>
      </c>
    </row>
    <row r="128" spans="1:7" x14ac:dyDescent="0.25">
      <c r="A128" t="s">
        <v>637</v>
      </c>
      <c r="B128" t="s">
        <v>638</v>
      </c>
      <c r="C128" t="s">
        <v>639</v>
      </c>
      <c r="D128">
        <v>804.173</v>
      </c>
      <c r="G128" t="str">
        <f t="shared" si="1"/>
        <v>Mundo</v>
      </c>
    </row>
    <row r="129" spans="1:7" x14ac:dyDescent="0.25">
      <c r="A129" t="s">
        <v>55</v>
      </c>
      <c r="B129">
        <v>6.6829999999999998</v>
      </c>
      <c r="C129">
        <v>3.665</v>
      </c>
      <c r="D129">
        <v>3.0179999999999998</v>
      </c>
      <c r="G129" t="str">
        <f t="shared" si="1"/>
        <v>Myanmar</v>
      </c>
    </row>
    <row r="130" spans="1:7" x14ac:dyDescent="0.25">
      <c r="A130" t="s">
        <v>80</v>
      </c>
      <c r="B130">
        <v>1.0429999999999999</v>
      </c>
      <c r="C130">
        <v>2.0019999999999998</v>
      </c>
      <c r="D130">
        <v>-959</v>
      </c>
      <c r="G130" t="str">
        <f t="shared" si="1"/>
        <v>Namibia</v>
      </c>
    </row>
    <row r="131" spans="1:7" x14ac:dyDescent="0.25">
      <c r="A131" t="s">
        <v>73</v>
      </c>
      <c r="B131">
        <v>33</v>
      </c>
      <c r="C131">
        <v>61</v>
      </c>
      <c r="D131">
        <v>-28</v>
      </c>
      <c r="G131" t="str">
        <f t="shared" ref="G131:G194" si="2">TRIM(SUBSTITUTE(A131,CHAR(160),""))</f>
        <v>Nauru</v>
      </c>
    </row>
    <row r="132" spans="1:7" x14ac:dyDescent="0.25">
      <c r="A132" t="s">
        <v>161</v>
      </c>
      <c r="B132">
        <v>894</v>
      </c>
      <c r="C132">
        <v>2.0510000000000002</v>
      </c>
      <c r="D132">
        <v>-1.1559999999999999</v>
      </c>
      <c r="G132" t="str">
        <f t="shared" si="2"/>
        <v>Nepal</v>
      </c>
    </row>
    <row r="133" spans="1:7" x14ac:dyDescent="0.25">
      <c r="A133" t="s">
        <v>169</v>
      </c>
      <c r="B133">
        <v>1.5609999999999999</v>
      </c>
      <c r="C133">
        <v>1.137</v>
      </c>
      <c r="D133">
        <v>424</v>
      </c>
      <c r="G133" t="str">
        <f t="shared" si="2"/>
        <v>Nicaragua</v>
      </c>
    </row>
    <row r="134" spans="1:7" x14ac:dyDescent="0.25">
      <c r="A134" t="s">
        <v>204</v>
      </c>
      <c r="B134">
        <v>231</v>
      </c>
      <c r="C134">
        <v>1.2190000000000001</v>
      </c>
      <c r="D134">
        <v>-988</v>
      </c>
      <c r="G134" t="str">
        <f t="shared" si="2"/>
        <v>Níger</v>
      </c>
    </row>
    <row r="135" spans="1:7" x14ac:dyDescent="0.25">
      <c r="A135" t="s">
        <v>143</v>
      </c>
      <c r="B135">
        <v>4.4409999999999998</v>
      </c>
      <c r="C135">
        <v>17.677</v>
      </c>
      <c r="D135">
        <v>-13.236000000000001</v>
      </c>
      <c r="G135" t="str">
        <f t="shared" si="2"/>
        <v>Nigeria</v>
      </c>
    </row>
    <row r="136" spans="1:7" x14ac:dyDescent="0.25">
      <c r="A136" t="s">
        <v>29</v>
      </c>
      <c r="B136">
        <v>56.85</v>
      </c>
      <c r="C136">
        <v>64.209999999999994</v>
      </c>
      <c r="D136">
        <v>-7.36</v>
      </c>
      <c r="G136" t="str">
        <f t="shared" si="2"/>
        <v>Noruega</v>
      </c>
    </row>
    <row r="137" spans="1:7" x14ac:dyDescent="0.25">
      <c r="A137" t="s">
        <v>8</v>
      </c>
      <c r="B137">
        <v>540</v>
      </c>
      <c r="C137">
        <v>1.109</v>
      </c>
      <c r="D137">
        <v>-569</v>
      </c>
      <c r="G137" t="str">
        <f t="shared" si="2"/>
        <v>Nueva Caledonia</v>
      </c>
    </row>
    <row r="138" spans="1:7" x14ac:dyDescent="0.25">
      <c r="A138" t="s">
        <v>4</v>
      </c>
      <c r="B138">
        <v>18.504999999999999</v>
      </c>
      <c r="C138">
        <v>19.466999999999999</v>
      </c>
      <c r="D138">
        <v>-962</v>
      </c>
      <c r="G138" t="str">
        <f t="shared" si="2"/>
        <v>Nueva Zelanda</v>
      </c>
    </row>
    <row r="139" spans="1:7" x14ac:dyDescent="0.25">
      <c r="A139" t="s">
        <v>77</v>
      </c>
      <c r="B139">
        <v>5.7350000000000003</v>
      </c>
      <c r="C139">
        <v>12.243</v>
      </c>
      <c r="D139">
        <v>-6.508</v>
      </c>
      <c r="G139" t="str">
        <f t="shared" si="2"/>
        <v>Omán</v>
      </c>
    </row>
    <row r="140" spans="1:7" x14ac:dyDescent="0.25">
      <c r="A140" t="s">
        <v>52</v>
      </c>
      <c r="B140">
        <v>309.26799999999997</v>
      </c>
      <c r="C140">
        <v>268.04199999999997</v>
      </c>
      <c r="D140">
        <v>41.225999999999999</v>
      </c>
      <c r="G140" t="str">
        <f t="shared" si="2"/>
        <v>Países Bajos</v>
      </c>
    </row>
    <row r="141" spans="1:7" x14ac:dyDescent="0.25">
      <c r="A141" t="s">
        <v>112</v>
      </c>
      <c r="B141">
        <v>8.0969999999999995</v>
      </c>
      <c r="C141">
        <v>11.167999999999999</v>
      </c>
      <c r="D141">
        <v>-3.0710000000000002</v>
      </c>
      <c r="G141" t="str">
        <f t="shared" si="2"/>
        <v>Pakistán</v>
      </c>
    </row>
    <row r="142" spans="1:7" x14ac:dyDescent="0.25">
      <c r="A142" t="s">
        <v>1848</v>
      </c>
      <c r="B142">
        <v>22</v>
      </c>
      <c r="C142">
        <v>58</v>
      </c>
      <c r="D142">
        <v>-36</v>
      </c>
      <c r="G142" t="str">
        <f t="shared" si="2"/>
        <v>Palau</v>
      </c>
    </row>
    <row r="143" spans="1:7" x14ac:dyDescent="0.25">
      <c r="A143" t="s">
        <v>1845</v>
      </c>
      <c r="B143">
        <v>890</v>
      </c>
      <c r="C143">
        <v>1.9930000000000001</v>
      </c>
      <c r="D143">
        <v>-1.103</v>
      </c>
      <c r="G143" t="str">
        <f t="shared" si="2"/>
        <v>Palestina</v>
      </c>
    </row>
    <row r="144" spans="1:7" x14ac:dyDescent="0.25">
      <c r="A144" t="s">
        <v>150</v>
      </c>
      <c r="B144">
        <v>18.266999999999999</v>
      </c>
      <c r="C144">
        <v>5.7460000000000004</v>
      </c>
      <c r="D144">
        <v>12.521000000000001</v>
      </c>
      <c r="G144" t="str">
        <f t="shared" si="2"/>
        <v>Panamá</v>
      </c>
    </row>
    <row r="145" spans="1:7" x14ac:dyDescent="0.25">
      <c r="A145" t="s">
        <v>188</v>
      </c>
      <c r="B145">
        <v>307</v>
      </c>
      <c r="C145">
        <v>2.17</v>
      </c>
      <c r="D145">
        <v>-1.8620000000000001</v>
      </c>
      <c r="G145" t="str">
        <f t="shared" si="2"/>
        <v>Papúa Nueva Guinea</v>
      </c>
    </row>
    <row r="146" spans="1:7" x14ac:dyDescent="0.25">
      <c r="A146" t="s">
        <v>195</v>
      </c>
      <c r="B146">
        <v>2.4550000000000001</v>
      </c>
      <c r="C146">
        <v>2.4750000000000001</v>
      </c>
      <c r="D146">
        <v>-20</v>
      </c>
      <c r="G146" t="str">
        <f t="shared" si="2"/>
        <v>Paraguay</v>
      </c>
    </row>
    <row r="147" spans="1:7" x14ac:dyDescent="0.25">
      <c r="A147" t="s">
        <v>121</v>
      </c>
      <c r="B147">
        <v>7.1529999999999996</v>
      </c>
      <c r="C147">
        <v>15.069000000000001</v>
      </c>
      <c r="D147">
        <v>-7.9160000000000004</v>
      </c>
      <c r="G147" t="str">
        <f t="shared" si="2"/>
        <v>Perú</v>
      </c>
    </row>
    <row r="148" spans="1:7" x14ac:dyDescent="0.25">
      <c r="A148" t="s">
        <v>106</v>
      </c>
      <c r="B148">
        <v>1.024</v>
      </c>
      <c r="C148">
        <v>384</v>
      </c>
      <c r="D148">
        <v>640</v>
      </c>
      <c r="G148" t="str">
        <f t="shared" si="2"/>
        <v>Polinesia Francesa</v>
      </c>
    </row>
    <row r="149" spans="1:7" x14ac:dyDescent="0.25">
      <c r="A149" t="s">
        <v>127</v>
      </c>
      <c r="B149">
        <v>118.714</v>
      </c>
      <c r="C149">
        <v>75.176000000000002</v>
      </c>
      <c r="D149">
        <v>42.643999999999998</v>
      </c>
      <c r="G149" t="str">
        <f t="shared" si="2"/>
        <v>Polonia</v>
      </c>
    </row>
    <row r="150" spans="1:7" x14ac:dyDescent="0.25">
      <c r="A150" t="s">
        <v>53</v>
      </c>
      <c r="B150">
        <v>62.298999999999999</v>
      </c>
      <c r="C150">
        <v>27.707000000000001</v>
      </c>
      <c r="D150">
        <v>34.591999999999999</v>
      </c>
      <c r="G150" t="str">
        <f t="shared" si="2"/>
        <v>Portugal</v>
      </c>
    </row>
    <row r="151" spans="1:7" x14ac:dyDescent="0.25">
      <c r="A151" t="s">
        <v>1059</v>
      </c>
      <c r="B151">
        <v>30.172000000000001</v>
      </c>
      <c r="C151">
        <v>37.085000000000001</v>
      </c>
      <c r="D151">
        <v>-6.9130000000000003</v>
      </c>
      <c r="G151" t="str">
        <f t="shared" si="2"/>
        <v>Qatar</v>
      </c>
    </row>
    <row r="152" spans="1:7" x14ac:dyDescent="0.25">
      <c r="A152" t="s">
        <v>38</v>
      </c>
      <c r="B152">
        <v>649.27800000000002</v>
      </c>
      <c r="C152">
        <v>401.774</v>
      </c>
      <c r="D152">
        <v>247.50399999999999</v>
      </c>
      <c r="G152" t="str">
        <f t="shared" si="2"/>
        <v>Reino Unido</v>
      </c>
    </row>
    <row r="153" spans="1:7" x14ac:dyDescent="0.25">
      <c r="A153" t="s">
        <v>164</v>
      </c>
      <c r="B153">
        <v>33</v>
      </c>
      <c r="C153">
        <v>114</v>
      </c>
      <c r="D153">
        <v>-81</v>
      </c>
      <c r="G153" t="str">
        <f t="shared" si="2"/>
        <v>República Centroafricana</v>
      </c>
    </row>
    <row r="154" spans="1:7" x14ac:dyDescent="0.25">
      <c r="A154" t="s">
        <v>1780</v>
      </c>
      <c r="B154">
        <v>42.539000000000001</v>
      </c>
      <c r="C154">
        <v>38.018000000000001</v>
      </c>
      <c r="D154">
        <v>4.5209999999999999</v>
      </c>
      <c r="G154" t="str">
        <f t="shared" si="2"/>
        <v>República Checa</v>
      </c>
    </row>
    <row r="155" spans="1:7" x14ac:dyDescent="0.25">
      <c r="A155" t="s">
        <v>1061</v>
      </c>
      <c r="B155">
        <v>240</v>
      </c>
      <c r="C155">
        <v>1.7070000000000001</v>
      </c>
      <c r="D155">
        <v>-1.4670000000000001</v>
      </c>
      <c r="G155" t="str">
        <f t="shared" si="2"/>
        <v>República del Congo</v>
      </c>
    </row>
    <row r="156" spans="1:7" x14ac:dyDescent="0.25">
      <c r="A156" t="s">
        <v>1062</v>
      </c>
      <c r="B156">
        <v>49</v>
      </c>
      <c r="C156">
        <v>5.68</v>
      </c>
      <c r="D156">
        <v>-5.6310000000000002</v>
      </c>
      <c r="G156" t="str">
        <f t="shared" si="2"/>
        <v>República Democrática del Congo</v>
      </c>
    </row>
    <row r="157" spans="1:7" x14ac:dyDescent="0.25">
      <c r="A157" t="s">
        <v>70</v>
      </c>
      <c r="B157">
        <v>14.691000000000001</v>
      </c>
      <c r="C157">
        <v>5.6319999999999997</v>
      </c>
      <c r="D157">
        <v>9.0589999999999993</v>
      </c>
      <c r="G157" t="str">
        <f t="shared" si="2"/>
        <v>República Dominicana</v>
      </c>
    </row>
    <row r="158" spans="1:7" x14ac:dyDescent="0.25">
      <c r="A158" t="s">
        <v>205</v>
      </c>
      <c r="B158">
        <v>1.0429999999999999</v>
      </c>
      <c r="C158">
        <v>948</v>
      </c>
      <c r="D158">
        <v>95</v>
      </c>
      <c r="G158" t="str">
        <f t="shared" si="2"/>
        <v>Ruanda</v>
      </c>
    </row>
    <row r="159" spans="1:7" x14ac:dyDescent="0.25">
      <c r="A159" t="s">
        <v>17</v>
      </c>
      <c r="B159">
        <v>42.933</v>
      </c>
      <c r="C159">
        <v>30.648</v>
      </c>
      <c r="D159">
        <v>12.285</v>
      </c>
      <c r="G159" t="str">
        <f t="shared" si="2"/>
        <v>Rumania</v>
      </c>
    </row>
    <row r="160" spans="1:7" x14ac:dyDescent="0.25">
      <c r="A160" t="s">
        <v>25</v>
      </c>
      <c r="B160">
        <v>42.186</v>
      </c>
      <c r="C160">
        <v>81.325999999999993</v>
      </c>
      <c r="D160">
        <v>-39.14</v>
      </c>
      <c r="G160" t="str">
        <f t="shared" si="2"/>
        <v>Rusia</v>
      </c>
    </row>
    <row r="161" spans="1:7" x14ac:dyDescent="0.25">
      <c r="A161" t="s">
        <v>147</v>
      </c>
      <c r="B161">
        <v>303</v>
      </c>
      <c r="C161">
        <v>132</v>
      </c>
      <c r="D161">
        <v>171</v>
      </c>
      <c r="G161" t="str">
        <f t="shared" si="2"/>
        <v>Samoa</v>
      </c>
    </row>
    <row r="162" spans="1:7" x14ac:dyDescent="0.25">
      <c r="A162" t="s">
        <v>41</v>
      </c>
      <c r="B162">
        <v>551</v>
      </c>
      <c r="C162">
        <v>294</v>
      </c>
      <c r="D162">
        <v>257</v>
      </c>
      <c r="G162" t="str">
        <f t="shared" si="2"/>
        <v>San Cristóbal y Nieves</v>
      </c>
    </row>
    <row r="163" spans="1:7" x14ac:dyDescent="0.25">
      <c r="A163" t="s">
        <v>42</v>
      </c>
      <c r="B163">
        <v>891</v>
      </c>
      <c r="C163">
        <v>849</v>
      </c>
      <c r="D163">
        <v>42</v>
      </c>
      <c r="G163" t="str">
        <f t="shared" si="2"/>
        <v>San Marino</v>
      </c>
    </row>
    <row r="164" spans="1:7" x14ac:dyDescent="0.25">
      <c r="A164" t="s">
        <v>168</v>
      </c>
      <c r="B164">
        <v>1.2729999999999999</v>
      </c>
      <c r="C164">
        <v>330</v>
      </c>
      <c r="D164">
        <v>943</v>
      </c>
      <c r="G164" t="str">
        <f t="shared" si="2"/>
        <v>San Martín</v>
      </c>
    </row>
    <row r="165" spans="1:7" x14ac:dyDescent="0.25">
      <c r="A165" t="s">
        <v>120</v>
      </c>
      <c r="B165">
        <v>296</v>
      </c>
      <c r="C165">
        <v>187</v>
      </c>
      <c r="D165">
        <v>109</v>
      </c>
      <c r="G165" t="str">
        <f t="shared" si="2"/>
        <v>San Vicente y las Granadinas</v>
      </c>
    </row>
    <row r="166" spans="1:7" x14ac:dyDescent="0.25">
      <c r="A166" t="s">
        <v>47</v>
      </c>
      <c r="B166">
        <v>1.2749999999999999</v>
      </c>
      <c r="C166">
        <v>540</v>
      </c>
      <c r="D166">
        <v>736</v>
      </c>
      <c r="G166" t="str">
        <f t="shared" si="2"/>
        <v>Santa Lucía</v>
      </c>
    </row>
    <row r="167" spans="1:7" x14ac:dyDescent="0.25">
      <c r="A167" t="s">
        <v>67</v>
      </c>
      <c r="B167">
        <v>75</v>
      </c>
      <c r="C167">
        <v>55</v>
      </c>
      <c r="D167">
        <v>21</v>
      </c>
      <c r="G167" t="str">
        <f t="shared" si="2"/>
        <v>Santo Tomé y Príncipe</v>
      </c>
    </row>
    <row r="168" spans="1:7" x14ac:dyDescent="0.25">
      <c r="A168" t="s">
        <v>214</v>
      </c>
      <c r="B168">
        <v>1.48</v>
      </c>
      <c r="C168">
        <v>4.0750000000000002</v>
      </c>
      <c r="D168">
        <v>-2.5950000000000002</v>
      </c>
      <c r="G168" t="str">
        <f t="shared" si="2"/>
        <v>Senegal</v>
      </c>
    </row>
    <row r="169" spans="1:7" x14ac:dyDescent="0.25">
      <c r="A169" t="s">
        <v>64</v>
      </c>
      <c r="B169">
        <v>15.65</v>
      </c>
      <c r="C169">
        <v>12.622999999999999</v>
      </c>
      <c r="D169">
        <v>3.0270000000000001</v>
      </c>
      <c r="G169" t="str">
        <f t="shared" si="2"/>
        <v>Serbia</v>
      </c>
    </row>
    <row r="170" spans="1:7" x14ac:dyDescent="0.25">
      <c r="A170" t="s">
        <v>178</v>
      </c>
      <c r="B170">
        <v>1.833</v>
      </c>
      <c r="C170">
        <v>1.01</v>
      </c>
      <c r="D170">
        <v>823</v>
      </c>
      <c r="G170" t="str">
        <f t="shared" si="2"/>
        <v>Seychelles</v>
      </c>
    </row>
    <row r="171" spans="1:7" x14ac:dyDescent="0.25">
      <c r="A171" t="s">
        <v>153</v>
      </c>
      <c r="B171">
        <v>43</v>
      </c>
      <c r="C171">
        <v>348</v>
      </c>
      <c r="D171">
        <v>-305</v>
      </c>
      <c r="G171" t="str">
        <f t="shared" si="2"/>
        <v>Sierra Leona</v>
      </c>
    </row>
    <row r="172" spans="1:7" x14ac:dyDescent="0.25">
      <c r="A172" t="s">
        <v>175</v>
      </c>
      <c r="B172">
        <v>395.56599999999997</v>
      </c>
      <c r="C172">
        <v>351.12200000000001</v>
      </c>
      <c r="D172">
        <v>44.444000000000003</v>
      </c>
      <c r="G172" t="str">
        <f t="shared" si="2"/>
        <v>Singapur</v>
      </c>
    </row>
    <row r="173" spans="1:7" x14ac:dyDescent="0.25">
      <c r="A173" t="s">
        <v>33</v>
      </c>
      <c r="B173">
        <v>7.3330000000000002</v>
      </c>
      <c r="C173">
        <v>3.5329999999999999</v>
      </c>
      <c r="D173">
        <v>3.8</v>
      </c>
      <c r="G173" t="str">
        <f t="shared" si="2"/>
        <v>Siria</v>
      </c>
    </row>
    <row r="174" spans="1:7" x14ac:dyDescent="0.25">
      <c r="A174" t="s">
        <v>174</v>
      </c>
      <c r="B174">
        <v>5.4160000000000004</v>
      </c>
      <c r="C174">
        <v>2.012</v>
      </c>
      <c r="D174">
        <v>3.4039999999999999</v>
      </c>
      <c r="G174" t="str">
        <f t="shared" si="2"/>
        <v>Sri Lanka</v>
      </c>
    </row>
    <row r="175" spans="1:7" x14ac:dyDescent="0.25">
      <c r="A175" t="s">
        <v>30</v>
      </c>
      <c r="B175">
        <v>15.939</v>
      </c>
      <c r="C175">
        <v>19.760999999999999</v>
      </c>
      <c r="D175">
        <v>-3.8220000000000001</v>
      </c>
      <c r="G175" t="str">
        <f t="shared" si="2"/>
        <v>Sudáfrica</v>
      </c>
    </row>
    <row r="176" spans="1:7" x14ac:dyDescent="0.25">
      <c r="A176" t="s">
        <v>119</v>
      </c>
      <c r="B176">
        <v>1.5509999999999999</v>
      </c>
      <c r="C176">
        <v>1.59</v>
      </c>
      <c r="D176">
        <v>-39</v>
      </c>
      <c r="G176" t="str">
        <f t="shared" si="2"/>
        <v>Sudán</v>
      </c>
    </row>
    <row r="177" spans="1:7" x14ac:dyDescent="0.25">
      <c r="A177" t="s">
        <v>171</v>
      </c>
      <c r="B177">
        <v>484</v>
      </c>
      <c r="C177">
        <v>2.1920000000000002</v>
      </c>
      <c r="D177">
        <v>-1.7070000000000001</v>
      </c>
      <c r="G177" t="str">
        <f t="shared" si="2"/>
        <v>Sudán del Sur</v>
      </c>
    </row>
    <row r="178" spans="1:7" x14ac:dyDescent="0.25">
      <c r="A178" t="s">
        <v>46</v>
      </c>
      <c r="B178">
        <v>116.828</v>
      </c>
      <c r="C178">
        <v>124.965</v>
      </c>
      <c r="D178">
        <v>-8.1080000000000005</v>
      </c>
      <c r="G178" t="str">
        <f t="shared" si="2"/>
        <v>Suecia</v>
      </c>
    </row>
    <row r="179" spans="1:7" x14ac:dyDescent="0.25">
      <c r="A179" t="s">
        <v>35</v>
      </c>
      <c r="B179">
        <v>179.83500000000001</v>
      </c>
      <c r="C179">
        <v>214.61699999999999</v>
      </c>
      <c r="D179">
        <v>-34.781999999999996</v>
      </c>
      <c r="G179" t="str">
        <f t="shared" si="2"/>
        <v>Suiza</v>
      </c>
    </row>
    <row r="180" spans="1:7" x14ac:dyDescent="0.25">
      <c r="A180" t="s">
        <v>43</v>
      </c>
      <c r="B180">
        <v>173</v>
      </c>
      <c r="C180">
        <v>631</v>
      </c>
      <c r="D180">
        <v>-458</v>
      </c>
      <c r="G180" t="str">
        <f t="shared" si="2"/>
        <v>Surinam</v>
      </c>
    </row>
    <row r="181" spans="1:7" x14ac:dyDescent="0.25">
      <c r="A181" t="s">
        <v>78</v>
      </c>
      <c r="B181">
        <v>72.141999999999996</v>
      </c>
      <c r="C181">
        <v>73.643000000000001</v>
      </c>
      <c r="D181">
        <v>-1.5009999999999999</v>
      </c>
      <c r="G181" t="str">
        <f t="shared" si="2"/>
        <v>Tailandia</v>
      </c>
    </row>
    <row r="182" spans="1:7" x14ac:dyDescent="0.25">
      <c r="A182" t="s">
        <v>191</v>
      </c>
      <c r="B182">
        <v>6.2839999999999998</v>
      </c>
      <c r="C182">
        <v>2.33</v>
      </c>
      <c r="D182">
        <v>3.9540000000000002</v>
      </c>
      <c r="G182" t="str">
        <f t="shared" si="2"/>
        <v>Tanzania</v>
      </c>
    </row>
    <row r="183" spans="1:7" x14ac:dyDescent="0.25">
      <c r="A183" t="s">
        <v>216</v>
      </c>
      <c r="B183">
        <v>244</v>
      </c>
      <c r="C183">
        <v>748</v>
      </c>
      <c r="D183">
        <v>-505</v>
      </c>
      <c r="G183" t="str">
        <f t="shared" si="2"/>
        <v>Tayikistán</v>
      </c>
    </row>
    <row r="184" spans="1:7" x14ac:dyDescent="0.25">
      <c r="A184" t="s">
        <v>158</v>
      </c>
      <c r="B184">
        <v>69</v>
      </c>
      <c r="C184">
        <v>422</v>
      </c>
      <c r="D184">
        <v>-353</v>
      </c>
      <c r="G184" t="str">
        <f t="shared" si="2"/>
        <v>Timor Oriental</v>
      </c>
    </row>
    <row r="185" spans="1:7" x14ac:dyDescent="0.25">
      <c r="A185" t="s">
        <v>192</v>
      </c>
      <c r="B185">
        <v>514</v>
      </c>
      <c r="C185">
        <v>438</v>
      </c>
      <c r="D185">
        <v>76</v>
      </c>
      <c r="G185" t="str">
        <f t="shared" si="2"/>
        <v>Togo</v>
      </c>
    </row>
    <row r="186" spans="1:7" x14ac:dyDescent="0.25">
      <c r="A186" t="s">
        <v>99</v>
      </c>
      <c r="B186">
        <v>82</v>
      </c>
      <c r="C186">
        <v>150</v>
      </c>
      <c r="D186">
        <v>-68</v>
      </c>
      <c r="G186" t="str">
        <f t="shared" si="2"/>
        <v>Tonga</v>
      </c>
    </row>
    <row r="187" spans="1:7" x14ac:dyDescent="0.25">
      <c r="A187" t="s">
        <v>18</v>
      </c>
      <c r="B187">
        <v>1.1659999999999999</v>
      </c>
      <c r="C187">
        <v>2.157</v>
      </c>
      <c r="D187">
        <v>-991</v>
      </c>
      <c r="G187" t="str">
        <f t="shared" si="2"/>
        <v>Trinidad y Tobago</v>
      </c>
    </row>
    <row r="188" spans="1:7" x14ac:dyDescent="0.25">
      <c r="A188" t="s">
        <v>83</v>
      </c>
      <c r="B188">
        <v>10.694000000000001</v>
      </c>
      <c r="C188">
        <v>3.863</v>
      </c>
      <c r="D188">
        <v>6.8310000000000004</v>
      </c>
      <c r="G188" t="str">
        <f t="shared" si="2"/>
        <v>Túnez</v>
      </c>
    </row>
    <row r="189" spans="1:7" x14ac:dyDescent="0.25">
      <c r="A189" t="s">
        <v>129</v>
      </c>
      <c r="B189">
        <v>115.249</v>
      </c>
      <c r="C189">
        <v>53.256999999999998</v>
      </c>
      <c r="D189">
        <v>61.991999999999997</v>
      </c>
      <c r="G189" t="str">
        <f t="shared" si="2"/>
        <v>Turquía</v>
      </c>
    </row>
    <row r="190" spans="1:7" x14ac:dyDescent="0.25">
      <c r="A190" t="s">
        <v>72</v>
      </c>
      <c r="B190">
        <v>2</v>
      </c>
      <c r="C190">
        <v>33</v>
      </c>
      <c r="D190">
        <v>-31</v>
      </c>
      <c r="G190" t="str">
        <f t="shared" si="2"/>
        <v>Tuvalu</v>
      </c>
    </row>
    <row r="191" spans="1:7" x14ac:dyDescent="0.25">
      <c r="A191" t="s">
        <v>51</v>
      </c>
      <c r="B191">
        <v>17.225999999999999</v>
      </c>
      <c r="C191">
        <v>22.734000000000002</v>
      </c>
      <c r="D191">
        <v>-5.508</v>
      </c>
      <c r="G191" t="str">
        <f t="shared" si="2"/>
        <v>Ucrania</v>
      </c>
    </row>
    <row r="192" spans="1:7" x14ac:dyDescent="0.25">
      <c r="A192" t="s">
        <v>202</v>
      </c>
      <c r="B192">
        <v>2.081</v>
      </c>
      <c r="C192">
        <v>3.7</v>
      </c>
      <c r="D192">
        <v>-1.619</v>
      </c>
      <c r="G192" t="str">
        <f t="shared" si="2"/>
        <v>Uganda</v>
      </c>
    </row>
    <row r="193" spans="1:7" x14ac:dyDescent="0.25">
      <c r="A193" t="s">
        <v>50</v>
      </c>
      <c r="B193">
        <v>6.9480000000000004</v>
      </c>
      <c r="C193">
        <v>6.2060000000000004</v>
      </c>
      <c r="D193">
        <v>742</v>
      </c>
      <c r="G193" t="str">
        <f t="shared" si="2"/>
        <v>Uruguay</v>
      </c>
    </row>
    <row r="194" spans="1:7" x14ac:dyDescent="0.25">
      <c r="A194" t="s">
        <v>213</v>
      </c>
      <c r="B194">
        <v>6.5469999999999997</v>
      </c>
      <c r="C194">
        <v>10.464</v>
      </c>
      <c r="D194">
        <v>-3.9169999999999998</v>
      </c>
      <c r="G194" t="str">
        <f t="shared" si="2"/>
        <v>Uzbekistán</v>
      </c>
    </row>
    <row r="195" spans="1:7" x14ac:dyDescent="0.25">
      <c r="A195" t="s">
        <v>109</v>
      </c>
      <c r="B195">
        <v>78</v>
      </c>
      <c r="C195">
        <v>230</v>
      </c>
      <c r="D195">
        <v>-151</v>
      </c>
      <c r="G195" t="str">
        <f t="shared" ref="G195:G201" si="3">TRIM(SUBSTITUTE(A195,CHAR(160),""))</f>
        <v>Vanuatu</v>
      </c>
    </row>
    <row r="196" spans="1:7" x14ac:dyDescent="0.25">
      <c r="A196" t="s">
        <v>45</v>
      </c>
      <c r="B196">
        <v>1.2849999999999999</v>
      </c>
      <c r="C196">
        <v>9.4719999999999995</v>
      </c>
      <c r="D196">
        <v>-8.1869999999999994</v>
      </c>
      <c r="G196" t="str">
        <f t="shared" si="3"/>
        <v>Venezuela</v>
      </c>
    </row>
    <row r="197" spans="1:7" x14ac:dyDescent="0.25">
      <c r="A197" t="s">
        <v>215</v>
      </c>
      <c r="B197">
        <v>23.850999999999999</v>
      </c>
      <c r="C197">
        <v>36.183</v>
      </c>
      <c r="D197">
        <v>-12.332000000000001</v>
      </c>
      <c r="G197" t="str">
        <f t="shared" si="3"/>
        <v>Vietnam</v>
      </c>
    </row>
    <row r="198" spans="1:7" x14ac:dyDescent="0.25">
      <c r="A198" t="s">
        <v>11</v>
      </c>
      <c r="B198">
        <v>466</v>
      </c>
      <c r="C198">
        <v>1.458</v>
      </c>
      <c r="D198">
        <v>-992</v>
      </c>
      <c r="G198" t="str">
        <f t="shared" si="3"/>
        <v>Yemen</v>
      </c>
    </row>
    <row r="199" spans="1:7" x14ac:dyDescent="0.25">
      <c r="A199" t="s">
        <v>196</v>
      </c>
      <c r="B199">
        <v>1.105</v>
      </c>
      <c r="C199">
        <v>787</v>
      </c>
      <c r="D199">
        <v>318</v>
      </c>
      <c r="G199" t="str">
        <f t="shared" si="3"/>
        <v>Yibuti</v>
      </c>
    </row>
    <row r="200" spans="1:7" x14ac:dyDescent="0.25">
      <c r="A200" t="s">
        <v>135</v>
      </c>
      <c r="B200">
        <v>933</v>
      </c>
      <c r="C200">
        <v>1.706</v>
      </c>
      <c r="D200">
        <v>-773</v>
      </c>
      <c r="G200" t="str">
        <f t="shared" si="3"/>
        <v>Zambia</v>
      </c>
    </row>
    <row r="201" spans="1:7" x14ac:dyDescent="0.25">
      <c r="A201" t="s">
        <v>211</v>
      </c>
      <c r="B201">
        <v>399</v>
      </c>
      <c r="C201">
        <v>1.637</v>
      </c>
      <c r="D201">
        <v>-1.2370000000000001</v>
      </c>
      <c r="G201" t="str">
        <f t="shared" si="3"/>
        <v>Zimbabue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0B9-B74F-4BB8-877E-04259C718AA2}">
  <dimension ref="A1:D140"/>
  <sheetViews>
    <sheetView topLeftCell="A76" workbookViewId="0">
      <selection activeCell="A97" sqref="A97:D101"/>
    </sheetView>
  </sheetViews>
  <sheetFormatPr baseColWidth="10" defaultRowHeight="15" x14ac:dyDescent="0.25"/>
  <cols>
    <col min="1" max="1" width="33.85546875" bestFit="1" customWidth="1"/>
    <col min="2" max="2" width="8.42578125" bestFit="1" customWidth="1"/>
    <col min="3" max="3" width="23.7109375" bestFit="1" customWidth="1"/>
    <col min="4" max="4" width="30.140625" bestFit="1" customWidth="1"/>
    <col min="6" max="6" width="30.85546875" bestFit="1" customWidth="1"/>
    <col min="8" max="8" width="30.85546875" bestFit="1" customWidth="1"/>
  </cols>
  <sheetData>
    <row r="1" spans="1:4" x14ac:dyDescent="0.25">
      <c r="A1" t="s">
        <v>642</v>
      </c>
      <c r="B1" t="s">
        <v>643</v>
      </c>
      <c r="C1" t="s">
        <v>644</v>
      </c>
      <c r="D1" t="s">
        <v>645</v>
      </c>
    </row>
    <row r="2" spans="1:4" x14ac:dyDescent="0.25">
      <c r="A2" t="s">
        <v>5</v>
      </c>
      <c r="B2">
        <v>2024</v>
      </c>
      <c r="C2">
        <v>1781531.4</v>
      </c>
      <c r="D2">
        <v>21.315999999999999</v>
      </c>
    </row>
    <row r="3" spans="1:4" x14ac:dyDescent="0.25">
      <c r="A3" t="s">
        <v>139</v>
      </c>
      <c r="B3">
        <v>2024</v>
      </c>
    </row>
    <row r="4" spans="1:4" x14ac:dyDescent="0.25">
      <c r="A4" t="s">
        <v>108</v>
      </c>
      <c r="B4">
        <v>2023</v>
      </c>
      <c r="C4" t="s">
        <v>654</v>
      </c>
      <c r="D4">
        <v>3.51</v>
      </c>
    </row>
    <row r="5" spans="1:4" x14ac:dyDescent="0.25">
      <c r="A5" t="s">
        <v>152</v>
      </c>
      <c r="B5">
        <v>2023</v>
      </c>
      <c r="C5" t="s">
        <v>656</v>
      </c>
      <c r="D5">
        <v>3.9470000000000001</v>
      </c>
    </row>
    <row r="6" spans="1:4" x14ac:dyDescent="0.25">
      <c r="A6" t="s">
        <v>207</v>
      </c>
      <c r="B6">
        <v>2023</v>
      </c>
      <c r="C6" t="s">
        <v>655</v>
      </c>
      <c r="D6">
        <v>1.893</v>
      </c>
    </row>
    <row r="7" spans="1:4" x14ac:dyDescent="0.25">
      <c r="A7" t="s">
        <v>56</v>
      </c>
      <c r="B7">
        <v>2023</v>
      </c>
      <c r="C7" t="s">
        <v>658</v>
      </c>
      <c r="D7">
        <v>19.677</v>
      </c>
    </row>
    <row r="8" spans="1:4" x14ac:dyDescent="0.25">
      <c r="A8" t="s">
        <v>15</v>
      </c>
      <c r="B8">
        <v>2024</v>
      </c>
      <c r="C8" t="s">
        <v>657</v>
      </c>
      <c r="D8">
        <v>25.221</v>
      </c>
    </row>
    <row r="9" spans="1:4" x14ac:dyDescent="0.25">
      <c r="A9" t="s">
        <v>40</v>
      </c>
      <c r="B9">
        <v>2023</v>
      </c>
      <c r="C9" t="s">
        <v>659</v>
      </c>
      <c r="D9">
        <v>1.635</v>
      </c>
    </row>
    <row r="10" spans="1:4" x14ac:dyDescent="0.25">
      <c r="A10" t="s">
        <v>96</v>
      </c>
      <c r="B10">
        <v>2023</v>
      </c>
      <c r="C10" t="s">
        <v>667</v>
      </c>
      <c r="D10">
        <v>6.9820000000000002</v>
      </c>
    </row>
    <row r="11" spans="1:4" x14ac:dyDescent="0.25">
      <c r="A11" t="s">
        <v>1849</v>
      </c>
      <c r="B11">
        <v>2023</v>
      </c>
      <c r="C11" t="s">
        <v>661</v>
      </c>
      <c r="D11">
        <v>214</v>
      </c>
    </row>
    <row r="12" spans="1:4" x14ac:dyDescent="0.25">
      <c r="A12" t="s">
        <v>92</v>
      </c>
      <c r="B12">
        <v>2023</v>
      </c>
      <c r="C12" t="s">
        <v>660</v>
      </c>
      <c r="D12">
        <v>6.8259999999999996</v>
      </c>
    </row>
    <row r="13" spans="1:4" x14ac:dyDescent="0.25">
      <c r="A13" t="s">
        <v>24</v>
      </c>
      <c r="B13">
        <v>2024</v>
      </c>
      <c r="C13" t="s">
        <v>662</v>
      </c>
      <c r="D13">
        <v>23.806999999999999</v>
      </c>
    </row>
    <row r="14" spans="1:4" x14ac:dyDescent="0.25">
      <c r="A14" t="s">
        <v>93</v>
      </c>
      <c r="B14">
        <v>2023</v>
      </c>
      <c r="C14" t="s">
        <v>670</v>
      </c>
      <c r="D14">
        <v>1.8620000000000001</v>
      </c>
    </row>
    <row r="15" spans="1:4" x14ac:dyDescent="0.25">
      <c r="A15" t="s">
        <v>32</v>
      </c>
      <c r="B15">
        <v>2023</v>
      </c>
      <c r="C15" t="s">
        <v>665</v>
      </c>
      <c r="D15">
        <v>894</v>
      </c>
    </row>
    <row r="16" spans="1:4" x14ac:dyDescent="0.25">
      <c r="A16" t="s">
        <v>22</v>
      </c>
      <c r="B16">
        <v>2023</v>
      </c>
      <c r="C16" t="s">
        <v>669</v>
      </c>
      <c r="D16">
        <v>1.0509999999999999</v>
      </c>
    </row>
    <row r="17" spans="1:4" x14ac:dyDescent="0.25">
      <c r="A17" t="s">
        <v>74</v>
      </c>
      <c r="B17">
        <v>2023</v>
      </c>
      <c r="C17" t="s">
        <v>666</v>
      </c>
      <c r="D17">
        <v>3.286</v>
      </c>
    </row>
    <row r="18" spans="1:4" x14ac:dyDescent="0.25">
      <c r="A18" t="s">
        <v>113</v>
      </c>
      <c r="B18">
        <v>2024</v>
      </c>
      <c r="C18" t="s">
        <v>664</v>
      </c>
      <c r="D18">
        <v>5.3620000000000001</v>
      </c>
    </row>
    <row r="19" spans="1:4" x14ac:dyDescent="0.25">
      <c r="A19" t="s">
        <v>172</v>
      </c>
      <c r="B19">
        <v>2023</v>
      </c>
      <c r="C19" t="s">
        <v>663</v>
      </c>
      <c r="D19">
        <v>179</v>
      </c>
    </row>
    <row r="20" spans="1:4" x14ac:dyDescent="0.25">
      <c r="A20" t="s">
        <v>206</v>
      </c>
      <c r="B20">
        <v>2023</v>
      </c>
      <c r="C20" t="s">
        <v>668</v>
      </c>
      <c r="D20">
        <v>471</v>
      </c>
    </row>
    <row r="21" spans="1:4" x14ac:dyDescent="0.25">
      <c r="A21" t="s">
        <v>184</v>
      </c>
      <c r="B21">
        <v>2023</v>
      </c>
      <c r="C21" t="s">
        <v>681</v>
      </c>
      <c r="D21">
        <v>950</v>
      </c>
    </row>
    <row r="22" spans="1:4" x14ac:dyDescent="0.25">
      <c r="A22" t="s">
        <v>173</v>
      </c>
      <c r="B22">
        <v>2023</v>
      </c>
      <c r="C22" t="s">
        <v>710</v>
      </c>
      <c r="D22">
        <v>332</v>
      </c>
    </row>
    <row r="23" spans="1:4" x14ac:dyDescent="0.25">
      <c r="A23" t="s">
        <v>111</v>
      </c>
      <c r="B23">
        <v>2024</v>
      </c>
      <c r="C23" t="s">
        <v>677</v>
      </c>
      <c r="D23">
        <v>263</v>
      </c>
    </row>
    <row r="24" spans="1:4" x14ac:dyDescent="0.25">
      <c r="A24" t="s">
        <v>48</v>
      </c>
      <c r="B24">
        <v>2024</v>
      </c>
      <c r="C24" t="s">
        <v>671</v>
      </c>
      <c r="D24">
        <v>18.978999999999999</v>
      </c>
    </row>
    <row r="25" spans="1:4" x14ac:dyDescent="0.25">
      <c r="A25" t="s">
        <v>186</v>
      </c>
      <c r="B25">
        <v>2024</v>
      </c>
      <c r="C25" t="s">
        <v>765</v>
      </c>
      <c r="D25">
        <v>91</v>
      </c>
    </row>
    <row r="26" spans="1:4" x14ac:dyDescent="0.25">
      <c r="A26" t="s">
        <v>1008</v>
      </c>
      <c r="B26">
        <v>2024</v>
      </c>
      <c r="C26" t="s">
        <v>682</v>
      </c>
      <c r="D26">
        <v>10.808</v>
      </c>
    </row>
    <row r="27" spans="1:4" x14ac:dyDescent="0.25">
      <c r="A27" t="s">
        <v>75</v>
      </c>
      <c r="B27">
        <v>2024</v>
      </c>
      <c r="C27" t="s">
        <v>676</v>
      </c>
      <c r="D27">
        <v>3.4409999999999998</v>
      </c>
    </row>
    <row r="28" spans="1:4" x14ac:dyDescent="0.25">
      <c r="A28" t="s">
        <v>170</v>
      </c>
      <c r="B28">
        <v>2023</v>
      </c>
      <c r="C28" t="s">
        <v>653</v>
      </c>
      <c r="D28">
        <v>2.649</v>
      </c>
    </row>
    <row r="29" spans="1:4" x14ac:dyDescent="0.25">
      <c r="A29" t="s">
        <v>136</v>
      </c>
      <c r="B29">
        <v>2024</v>
      </c>
    </row>
    <row r="30" spans="1:4" x14ac:dyDescent="0.25">
      <c r="A30" t="s">
        <v>87</v>
      </c>
      <c r="B30">
        <v>2024</v>
      </c>
      <c r="C30" t="s">
        <v>678</v>
      </c>
      <c r="D30">
        <v>1.5780000000000001</v>
      </c>
    </row>
    <row r="31" spans="1:4" x14ac:dyDescent="0.25">
      <c r="A31" t="s">
        <v>26</v>
      </c>
      <c r="B31">
        <v>2024</v>
      </c>
      <c r="C31" t="s">
        <v>712</v>
      </c>
      <c r="D31">
        <v>9.1530000000000005</v>
      </c>
    </row>
    <row r="32" spans="1:4" x14ac:dyDescent="0.25">
      <c r="A32" t="s">
        <v>200</v>
      </c>
      <c r="B32">
        <v>2024</v>
      </c>
      <c r="C32" t="s">
        <v>675</v>
      </c>
      <c r="D32">
        <v>387</v>
      </c>
    </row>
    <row r="33" spans="1:4" x14ac:dyDescent="0.25">
      <c r="A33" t="s">
        <v>160</v>
      </c>
      <c r="B33">
        <v>2024</v>
      </c>
      <c r="C33" t="s">
        <v>679</v>
      </c>
      <c r="D33">
        <v>4.4480000000000004</v>
      </c>
    </row>
    <row r="34" spans="1:4" x14ac:dyDescent="0.25">
      <c r="A34" t="s">
        <v>117</v>
      </c>
      <c r="B34">
        <v>2024</v>
      </c>
      <c r="C34" t="s">
        <v>701</v>
      </c>
      <c r="D34">
        <v>9.2219999999999995</v>
      </c>
    </row>
    <row r="35" spans="1:4" x14ac:dyDescent="0.25">
      <c r="A35" t="s">
        <v>54</v>
      </c>
      <c r="B35">
        <v>2023</v>
      </c>
      <c r="C35" t="s">
        <v>680</v>
      </c>
      <c r="D35">
        <v>182</v>
      </c>
    </row>
    <row r="36" spans="1:4" x14ac:dyDescent="0.25">
      <c r="A36" t="s">
        <v>102</v>
      </c>
      <c r="B36">
        <v>2024</v>
      </c>
      <c r="C36" t="s">
        <v>683</v>
      </c>
      <c r="D36">
        <v>32.003</v>
      </c>
    </row>
    <row r="37" spans="1:4" x14ac:dyDescent="0.25">
      <c r="A37" t="s">
        <v>134</v>
      </c>
      <c r="B37">
        <v>2023</v>
      </c>
      <c r="C37" t="s">
        <v>685</v>
      </c>
      <c r="D37">
        <v>1.361</v>
      </c>
    </row>
    <row r="38" spans="1:4" x14ac:dyDescent="0.25">
      <c r="A38" t="s">
        <v>154</v>
      </c>
      <c r="B38">
        <v>2024</v>
      </c>
      <c r="C38" t="s">
        <v>687</v>
      </c>
      <c r="D38">
        <v>473</v>
      </c>
    </row>
    <row r="39" spans="1:4" x14ac:dyDescent="0.25">
      <c r="A39" t="s">
        <v>131</v>
      </c>
      <c r="B39">
        <v>2023</v>
      </c>
      <c r="C39" t="s">
        <v>763</v>
      </c>
      <c r="D39">
        <v>1.23</v>
      </c>
    </row>
    <row r="40" spans="1:4" x14ac:dyDescent="0.25">
      <c r="A40" t="s">
        <v>20</v>
      </c>
      <c r="B40">
        <v>2024</v>
      </c>
      <c r="C40" t="s">
        <v>759</v>
      </c>
      <c r="D40">
        <v>9.3000000000000007</v>
      </c>
    </row>
    <row r="41" spans="1:4" x14ac:dyDescent="0.25">
      <c r="A41" t="s">
        <v>27</v>
      </c>
      <c r="B41">
        <v>2024</v>
      </c>
      <c r="C41" t="s">
        <v>758</v>
      </c>
      <c r="D41">
        <v>13.115</v>
      </c>
    </row>
    <row r="42" spans="1:4" x14ac:dyDescent="0.25">
      <c r="A42" t="s">
        <v>95</v>
      </c>
      <c r="B42">
        <v>2024</v>
      </c>
      <c r="C42" t="s">
        <v>646</v>
      </c>
      <c r="D42">
        <v>12.893000000000001</v>
      </c>
    </row>
    <row r="43" spans="1:4" x14ac:dyDescent="0.25">
      <c r="A43" t="s">
        <v>69</v>
      </c>
      <c r="B43">
        <v>2024</v>
      </c>
      <c r="C43" t="s">
        <v>651</v>
      </c>
      <c r="D43">
        <v>21.998000000000001</v>
      </c>
    </row>
    <row r="44" spans="1:4" x14ac:dyDescent="0.25">
      <c r="A44" t="s">
        <v>13</v>
      </c>
      <c r="B44">
        <v>2024</v>
      </c>
      <c r="C44" t="s">
        <v>686</v>
      </c>
      <c r="D44">
        <v>11.092000000000001</v>
      </c>
    </row>
    <row r="45" spans="1:4" x14ac:dyDescent="0.25">
      <c r="A45" t="s">
        <v>1016</v>
      </c>
      <c r="B45">
        <v>2023</v>
      </c>
      <c r="C45" t="s">
        <v>764</v>
      </c>
      <c r="D45">
        <v>690</v>
      </c>
    </row>
    <row r="46" spans="1:4" x14ac:dyDescent="0.25">
      <c r="A46" t="s">
        <v>155</v>
      </c>
      <c r="B46">
        <v>2023</v>
      </c>
      <c r="C46" t="s">
        <v>748</v>
      </c>
      <c r="D46">
        <v>698</v>
      </c>
    </row>
    <row r="47" spans="1:4" x14ac:dyDescent="0.25">
      <c r="A47" t="s">
        <v>3</v>
      </c>
      <c r="B47">
        <v>2024</v>
      </c>
      <c r="C47" t="s">
        <v>688</v>
      </c>
      <c r="D47">
        <v>22.373999999999999</v>
      </c>
    </row>
    <row r="48" spans="1:4" x14ac:dyDescent="0.25">
      <c r="A48" t="s">
        <v>118</v>
      </c>
      <c r="B48">
        <v>2023</v>
      </c>
      <c r="C48" t="s">
        <v>689</v>
      </c>
      <c r="D48">
        <v>1.2050000000000001</v>
      </c>
    </row>
    <row r="49" spans="1:4" x14ac:dyDescent="0.25">
      <c r="A49" t="s">
        <v>23</v>
      </c>
      <c r="B49">
        <v>2024</v>
      </c>
      <c r="C49" t="s">
        <v>648</v>
      </c>
      <c r="D49">
        <v>20.013000000000002</v>
      </c>
    </row>
    <row r="50" spans="1:4" x14ac:dyDescent="0.25">
      <c r="A50" t="s">
        <v>84</v>
      </c>
      <c r="B50">
        <v>2024</v>
      </c>
      <c r="C50" t="s">
        <v>690</v>
      </c>
      <c r="D50">
        <v>1.264</v>
      </c>
    </row>
    <row r="51" spans="1:4" x14ac:dyDescent="0.25">
      <c r="A51" t="s">
        <v>194</v>
      </c>
      <c r="B51">
        <v>2024</v>
      </c>
      <c r="C51" t="s">
        <v>693</v>
      </c>
      <c r="D51">
        <v>110</v>
      </c>
    </row>
    <row r="52" spans="1:4" x14ac:dyDescent="0.25">
      <c r="A52" t="s">
        <v>209</v>
      </c>
      <c r="B52">
        <v>2023</v>
      </c>
      <c r="C52" t="s">
        <v>691</v>
      </c>
      <c r="D52">
        <v>2.0329999999999999</v>
      </c>
    </row>
    <row r="53" spans="1:4" x14ac:dyDescent="0.25">
      <c r="A53" t="s">
        <v>193</v>
      </c>
      <c r="B53">
        <v>2024</v>
      </c>
      <c r="C53" t="s">
        <v>692</v>
      </c>
      <c r="D53">
        <v>357</v>
      </c>
    </row>
    <row r="54" spans="1:4" x14ac:dyDescent="0.25">
      <c r="A54" t="s">
        <v>65</v>
      </c>
      <c r="B54">
        <v>2024</v>
      </c>
      <c r="C54" t="s">
        <v>696</v>
      </c>
      <c r="D54">
        <v>9.8740000000000006</v>
      </c>
    </row>
    <row r="55" spans="1:4" x14ac:dyDescent="0.25">
      <c r="A55" t="s">
        <v>144</v>
      </c>
      <c r="B55">
        <v>2023</v>
      </c>
      <c r="C55" t="s">
        <v>697</v>
      </c>
      <c r="D55">
        <v>807</v>
      </c>
    </row>
    <row r="56" spans="1:4" x14ac:dyDescent="0.25">
      <c r="A56" t="s">
        <v>201</v>
      </c>
      <c r="B56">
        <v>2024</v>
      </c>
      <c r="C56" t="s">
        <v>694</v>
      </c>
      <c r="D56">
        <v>229</v>
      </c>
    </row>
    <row r="57" spans="1:4" x14ac:dyDescent="0.25">
      <c r="A57" t="s">
        <v>198</v>
      </c>
      <c r="B57">
        <v>2024</v>
      </c>
      <c r="C57" t="s">
        <v>695</v>
      </c>
      <c r="D57">
        <v>469</v>
      </c>
    </row>
    <row r="58" spans="1:4" x14ac:dyDescent="0.25">
      <c r="A58" t="s">
        <v>62</v>
      </c>
      <c r="B58">
        <v>2023</v>
      </c>
      <c r="C58" t="s">
        <v>698</v>
      </c>
      <c r="D58">
        <v>2.3740000000000001</v>
      </c>
    </row>
    <row r="59" spans="1:4" x14ac:dyDescent="0.25">
      <c r="A59" t="s">
        <v>132</v>
      </c>
      <c r="B59">
        <v>2023</v>
      </c>
      <c r="C59" t="s">
        <v>700</v>
      </c>
      <c r="D59">
        <v>686</v>
      </c>
    </row>
    <row r="60" spans="1:4" x14ac:dyDescent="0.25">
      <c r="A60" t="s">
        <v>124</v>
      </c>
      <c r="B60">
        <v>2023</v>
      </c>
      <c r="C60" t="s">
        <v>699</v>
      </c>
      <c r="D60">
        <v>6.7560000000000002</v>
      </c>
    </row>
    <row r="61" spans="1:4" x14ac:dyDescent="0.25">
      <c r="A61" t="s">
        <v>6</v>
      </c>
      <c r="B61">
        <v>2024</v>
      </c>
      <c r="C61" t="s">
        <v>702</v>
      </c>
      <c r="D61">
        <v>8.0210000000000008</v>
      </c>
    </row>
    <row r="62" spans="1:4" x14ac:dyDescent="0.25">
      <c r="A62" t="s">
        <v>180</v>
      </c>
      <c r="B62">
        <v>2023</v>
      </c>
      <c r="C62" t="s">
        <v>703</v>
      </c>
      <c r="D62">
        <v>593</v>
      </c>
    </row>
    <row r="63" spans="1:4" x14ac:dyDescent="0.25">
      <c r="A63" t="s">
        <v>58</v>
      </c>
      <c r="B63">
        <v>2024</v>
      </c>
      <c r="C63" t="s">
        <v>704</v>
      </c>
      <c r="D63">
        <v>24.291</v>
      </c>
    </row>
    <row r="64" spans="1:4" x14ac:dyDescent="0.25">
      <c r="A64" t="s">
        <v>36</v>
      </c>
      <c r="B64">
        <v>2024</v>
      </c>
      <c r="C64" t="s">
        <v>706</v>
      </c>
      <c r="D64">
        <v>31.623999999999999</v>
      </c>
    </row>
    <row r="65" spans="1:4" x14ac:dyDescent="0.25">
      <c r="A65" t="s">
        <v>85</v>
      </c>
      <c r="B65">
        <v>2023</v>
      </c>
      <c r="C65" t="s">
        <v>726</v>
      </c>
      <c r="D65">
        <v>1.681</v>
      </c>
    </row>
    <row r="66" spans="1:4" x14ac:dyDescent="0.25">
      <c r="A66" t="s">
        <v>88</v>
      </c>
      <c r="B66">
        <v>2023</v>
      </c>
      <c r="C66" t="s">
        <v>754</v>
      </c>
      <c r="D66">
        <v>393</v>
      </c>
    </row>
    <row r="67" spans="1:4" x14ac:dyDescent="0.25">
      <c r="A67" t="s">
        <v>103</v>
      </c>
      <c r="B67">
        <v>2024</v>
      </c>
      <c r="C67" t="s">
        <v>705</v>
      </c>
      <c r="D67">
        <v>16.696000000000002</v>
      </c>
    </row>
    <row r="68" spans="1:4" x14ac:dyDescent="0.25">
      <c r="A68" t="s">
        <v>10</v>
      </c>
      <c r="B68">
        <v>2024</v>
      </c>
      <c r="C68" t="s">
        <v>649</v>
      </c>
      <c r="D68">
        <v>17.268000000000001</v>
      </c>
    </row>
    <row r="69" spans="1:4" x14ac:dyDescent="0.25">
      <c r="A69" t="s">
        <v>2</v>
      </c>
      <c r="B69">
        <v>2023</v>
      </c>
      <c r="C69" t="s">
        <v>707</v>
      </c>
      <c r="D69">
        <v>1.9970000000000001</v>
      </c>
    </row>
    <row r="70" spans="1:4" x14ac:dyDescent="0.25">
      <c r="A70" t="s">
        <v>31</v>
      </c>
      <c r="B70">
        <v>2023</v>
      </c>
      <c r="C70" t="s">
        <v>652</v>
      </c>
      <c r="D70">
        <v>11.456</v>
      </c>
    </row>
    <row r="71" spans="1:4" x14ac:dyDescent="0.25">
      <c r="A71" t="s">
        <v>199</v>
      </c>
      <c r="B71">
        <v>2023</v>
      </c>
      <c r="C71" t="s">
        <v>713</v>
      </c>
      <c r="D71">
        <v>2.5609999999999999</v>
      </c>
    </row>
    <row r="72" spans="1:4" x14ac:dyDescent="0.25">
      <c r="A72" t="s">
        <v>165</v>
      </c>
      <c r="B72">
        <v>2024</v>
      </c>
      <c r="C72" t="s">
        <v>708</v>
      </c>
      <c r="D72">
        <v>324</v>
      </c>
    </row>
    <row r="73" spans="1:4" x14ac:dyDescent="0.25">
      <c r="A73" t="s">
        <v>57</v>
      </c>
      <c r="B73">
        <v>2023</v>
      </c>
      <c r="C73" t="s">
        <v>709</v>
      </c>
      <c r="D73">
        <v>469</v>
      </c>
    </row>
    <row r="74" spans="1:4" x14ac:dyDescent="0.25">
      <c r="A74" t="s">
        <v>149</v>
      </c>
      <c r="B74">
        <v>2023</v>
      </c>
      <c r="C74" t="s">
        <v>711</v>
      </c>
      <c r="D74">
        <v>372</v>
      </c>
    </row>
    <row r="75" spans="1:4" x14ac:dyDescent="0.25">
      <c r="A75" t="s">
        <v>163</v>
      </c>
      <c r="B75">
        <v>2023</v>
      </c>
      <c r="C75" t="s">
        <v>714</v>
      </c>
      <c r="D75">
        <v>215</v>
      </c>
    </row>
    <row r="76" spans="1:4" x14ac:dyDescent="0.25">
      <c r="A76" t="s">
        <v>39</v>
      </c>
      <c r="B76">
        <v>2023</v>
      </c>
      <c r="C76" t="s">
        <v>719</v>
      </c>
      <c r="D76">
        <v>215</v>
      </c>
    </row>
    <row r="77" spans="1:4" x14ac:dyDescent="0.25">
      <c r="A77" t="s">
        <v>71</v>
      </c>
      <c r="B77">
        <v>2024</v>
      </c>
      <c r="C77" t="s">
        <v>722</v>
      </c>
      <c r="D77">
        <v>8.2119999999999997</v>
      </c>
    </row>
    <row r="78" spans="1:4" x14ac:dyDescent="0.25">
      <c r="A78" t="s">
        <v>181</v>
      </c>
      <c r="B78">
        <v>2024</v>
      </c>
      <c r="C78" t="s">
        <v>718</v>
      </c>
      <c r="D78">
        <v>101</v>
      </c>
    </row>
    <row r="79" spans="1:4" x14ac:dyDescent="0.25">
      <c r="A79" t="s">
        <v>1</v>
      </c>
      <c r="B79">
        <v>2024</v>
      </c>
      <c r="C79" t="s">
        <v>716</v>
      </c>
      <c r="D79">
        <v>43.804000000000002</v>
      </c>
    </row>
    <row r="80" spans="1:4" x14ac:dyDescent="0.25">
      <c r="A80" t="s">
        <v>101</v>
      </c>
      <c r="B80">
        <v>2024</v>
      </c>
      <c r="C80" t="s">
        <v>720</v>
      </c>
      <c r="D80">
        <v>9.7270000000000003</v>
      </c>
    </row>
    <row r="81" spans="1:4" x14ac:dyDescent="0.25">
      <c r="A81" t="s">
        <v>16</v>
      </c>
      <c r="B81">
        <v>2024</v>
      </c>
      <c r="C81" t="s">
        <v>721</v>
      </c>
      <c r="D81">
        <v>56.707000000000001</v>
      </c>
    </row>
    <row r="82" spans="1:4" x14ac:dyDescent="0.25">
      <c r="A82" t="s">
        <v>100</v>
      </c>
      <c r="B82">
        <v>2024</v>
      </c>
      <c r="C82" t="s">
        <v>725</v>
      </c>
      <c r="D82">
        <v>68</v>
      </c>
    </row>
    <row r="83" spans="1:4" x14ac:dyDescent="0.25">
      <c r="A83" t="s">
        <v>182</v>
      </c>
      <c r="B83">
        <v>2023</v>
      </c>
      <c r="C83" t="s">
        <v>735</v>
      </c>
      <c r="D83">
        <v>1.5860000000000001</v>
      </c>
    </row>
    <row r="84" spans="1:4" x14ac:dyDescent="0.25">
      <c r="A84" t="s">
        <v>66</v>
      </c>
      <c r="B84">
        <v>2023</v>
      </c>
      <c r="C84" t="s">
        <v>733</v>
      </c>
      <c r="D84">
        <v>76</v>
      </c>
    </row>
    <row r="85" spans="1:4" x14ac:dyDescent="0.25">
      <c r="A85" t="s">
        <v>176</v>
      </c>
      <c r="B85">
        <v>2023</v>
      </c>
      <c r="C85" t="s">
        <v>732</v>
      </c>
      <c r="D85">
        <v>2.95</v>
      </c>
    </row>
    <row r="86" spans="1:4" x14ac:dyDescent="0.25">
      <c r="A86" t="s">
        <v>166</v>
      </c>
      <c r="B86">
        <v>2024</v>
      </c>
      <c r="C86" t="s">
        <v>727</v>
      </c>
      <c r="D86">
        <v>187</v>
      </c>
    </row>
    <row r="87" spans="1:4" x14ac:dyDescent="0.25">
      <c r="A87" t="s">
        <v>141</v>
      </c>
      <c r="B87">
        <v>2024</v>
      </c>
      <c r="C87" t="s">
        <v>730</v>
      </c>
      <c r="D87">
        <v>12.528</v>
      </c>
    </row>
    <row r="88" spans="1:4" x14ac:dyDescent="0.25">
      <c r="A88" t="s">
        <v>167</v>
      </c>
      <c r="B88">
        <v>2024</v>
      </c>
      <c r="C88" t="s">
        <v>723</v>
      </c>
      <c r="D88">
        <v>1.2649999999999999</v>
      </c>
    </row>
    <row r="89" spans="1:4" x14ac:dyDescent="0.25">
      <c r="A89" t="s">
        <v>114</v>
      </c>
      <c r="B89">
        <v>2024</v>
      </c>
      <c r="C89" t="s">
        <v>731</v>
      </c>
      <c r="D89">
        <v>2.3450000000000002</v>
      </c>
    </row>
    <row r="90" spans="1:4" x14ac:dyDescent="0.25">
      <c r="A90" t="s">
        <v>148</v>
      </c>
      <c r="B90">
        <v>2024</v>
      </c>
      <c r="C90" t="s">
        <v>729</v>
      </c>
      <c r="D90">
        <v>322</v>
      </c>
    </row>
    <row r="91" spans="1:4" x14ac:dyDescent="0.25">
      <c r="A91" t="s">
        <v>12</v>
      </c>
      <c r="B91">
        <v>2024</v>
      </c>
      <c r="C91" t="s">
        <v>734</v>
      </c>
      <c r="D91">
        <v>2.56</v>
      </c>
    </row>
    <row r="92" spans="1:4" x14ac:dyDescent="0.25">
      <c r="A92" t="s">
        <v>79</v>
      </c>
      <c r="B92">
        <v>2024</v>
      </c>
      <c r="C92" t="s">
        <v>724</v>
      </c>
      <c r="D92">
        <v>2.4089999999999998</v>
      </c>
    </row>
    <row r="93" spans="1:4" x14ac:dyDescent="0.25">
      <c r="A93" t="s">
        <v>203</v>
      </c>
      <c r="B93">
        <v>2023</v>
      </c>
      <c r="C93" t="s">
        <v>728</v>
      </c>
      <c r="D93">
        <v>1.446</v>
      </c>
    </row>
    <row r="94" spans="1:4" x14ac:dyDescent="0.25">
      <c r="A94" t="s">
        <v>9</v>
      </c>
      <c r="B94">
        <v>2024</v>
      </c>
      <c r="C94" t="s">
        <v>736</v>
      </c>
      <c r="D94">
        <v>126</v>
      </c>
    </row>
    <row r="95" spans="1:4" x14ac:dyDescent="0.25">
      <c r="A95" t="s">
        <v>80</v>
      </c>
      <c r="B95">
        <v>2024</v>
      </c>
      <c r="C95" t="s">
        <v>737</v>
      </c>
      <c r="D95">
        <v>1.0649999999999999</v>
      </c>
    </row>
    <row r="96" spans="1:4" x14ac:dyDescent="0.25">
      <c r="A96" t="s">
        <v>73</v>
      </c>
      <c r="B96">
        <v>2023</v>
      </c>
      <c r="C96" t="s">
        <v>743</v>
      </c>
      <c r="D96">
        <v>2.5939999999999999</v>
      </c>
    </row>
    <row r="97" spans="1:4" x14ac:dyDescent="0.25">
      <c r="A97" t="s">
        <v>169</v>
      </c>
      <c r="B97">
        <v>2023</v>
      </c>
      <c r="C97" t="s">
        <v>740</v>
      </c>
      <c r="D97">
        <v>716</v>
      </c>
    </row>
    <row r="98" spans="1:4" x14ac:dyDescent="0.25">
      <c r="A98" t="s">
        <v>204</v>
      </c>
      <c r="B98">
        <v>2024</v>
      </c>
      <c r="C98" t="s">
        <v>738</v>
      </c>
      <c r="D98">
        <v>53</v>
      </c>
    </row>
    <row r="99" spans="1:4" x14ac:dyDescent="0.25">
      <c r="A99" t="s">
        <v>143</v>
      </c>
      <c r="B99">
        <v>2023</v>
      </c>
      <c r="C99" t="s">
        <v>739</v>
      </c>
      <c r="D99">
        <v>131</v>
      </c>
    </row>
    <row r="100" spans="1:4" x14ac:dyDescent="0.25">
      <c r="A100" t="s">
        <v>29</v>
      </c>
      <c r="B100">
        <v>2024</v>
      </c>
      <c r="C100" t="s">
        <v>742</v>
      </c>
      <c r="D100">
        <v>34.741999999999997</v>
      </c>
    </row>
    <row r="101" spans="1:4" x14ac:dyDescent="0.25">
      <c r="A101" t="s">
        <v>4</v>
      </c>
      <c r="B101">
        <v>2024</v>
      </c>
      <c r="C101" t="s">
        <v>744</v>
      </c>
      <c r="D101">
        <v>16.411000000000001</v>
      </c>
    </row>
    <row r="102" spans="1:4" x14ac:dyDescent="0.25">
      <c r="A102" t="s">
        <v>52</v>
      </c>
      <c r="B102">
        <v>2024</v>
      </c>
      <c r="C102" t="s">
        <v>741</v>
      </c>
      <c r="D102">
        <v>25.95</v>
      </c>
    </row>
    <row r="103" spans="1:4" x14ac:dyDescent="0.25">
      <c r="A103" t="s">
        <v>112</v>
      </c>
      <c r="B103">
        <v>2023</v>
      </c>
      <c r="C103" t="s">
        <v>749</v>
      </c>
      <c r="D103">
        <v>194</v>
      </c>
    </row>
    <row r="104" spans="1:4" x14ac:dyDescent="0.25">
      <c r="A104" t="s">
        <v>150</v>
      </c>
      <c r="B104">
        <v>2023</v>
      </c>
      <c r="C104" t="s">
        <v>745</v>
      </c>
      <c r="D104">
        <v>2.2370000000000001</v>
      </c>
    </row>
    <row r="105" spans="1:4" x14ac:dyDescent="0.25">
      <c r="A105" t="s">
        <v>188</v>
      </c>
      <c r="B105">
        <v>2023</v>
      </c>
      <c r="C105" t="s">
        <v>747</v>
      </c>
      <c r="D105">
        <v>471</v>
      </c>
    </row>
    <row r="106" spans="1:4" x14ac:dyDescent="0.25">
      <c r="A106" t="s">
        <v>195</v>
      </c>
      <c r="B106">
        <v>2023</v>
      </c>
      <c r="C106" t="s">
        <v>751</v>
      </c>
      <c r="D106">
        <v>917</v>
      </c>
    </row>
    <row r="107" spans="1:4" x14ac:dyDescent="0.25">
      <c r="A107" t="s">
        <v>121</v>
      </c>
      <c r="B107">
        <v>2023</v>
      </c>
      <c r="C107" t="s">
        <v>746</v>
      </c>
      <c r="D107">
        <v>1.339</v>
      </c>
    </row>
    <row r="108" spans="1:4" x14ac:dyDescent="0.25">
      <c r="A108" t="s">
        <v>127</v>
      </c>
      <c r="B108">
        <v>2024</v>
      </c>
      <c r="C108" t="s">
        <v>750</v>
      </c>
      <c r="D108">
        <v>9.1829999999999998</v>
      </c>
    </row>
    <row r="109" spans="1:4" x14ac:dyDescent="0.25">
      <c r="A109" t="s">
        <v>53</v>
      </c>
      <c r="B109">
        <v>2024</v>
      </c>
      <c r="C109" t="s">
        <v>650</v>
      </c>
      <c r="D109">
        <v>10.239000000000001</v>
      </c>
    </row>
    <row r="110" spans="1:4" x14ac:dyDescent="0.25">
      <c r="A110" t="s">
        <v>38</v>
      </c>
      <c r="B110">
        <v>2024</v>
      </c>
      <c r="C110" t="s">
        <v>647</v>
      </c>
      <c r="D110">
        <v>18.344000000000001</v>
      </c>
    </row>
    <row r="111" spans="1:4" x14ac:dyDescent="0.25">
      <c r="A111" t="s">
        <v>1061</v>
      </c>
      <c r="B111">
        <v>2024</v>
      </c>
      <c r="C111" t="s">
        <v>673</v>
      </c>
      <c r="D111">
        <v>273</v>
      </c>
    </row>
    <row r="112" spans="1:4" x14ac:dyDescent="0.25">
      <c r="A112" t="s">
        <v>1062</v>
      </c>
      <c r="B112">
        <v>2023</v>
      </c>
      <c r="C112" t="s">
        <v>672</v>
      </c>
      <c r="D112">
        <v>70</v>
      </c>
    </row>
    <row r="113" spans="1:4" x14ac:dyDescent="0.25">
      <c r="A113" t="s">
        <v>70</v>
      </c>
      <c r="B113">
        <v>2023</v>
      </c>
      <c r="C113" t="s">
        <v>684</v>
      </c>
      <c r="D113">
        <v>1.625</v>
      </c>
    </row>
    <row r="114" spans="1:4" x14ac:dyDescent="0.25">
      <c r="A114" t="s">
        <v>205</v>
      </c>
      <c r="B114">
        <v>2024</v>
      </c>
      <c r="C114" t="s">
        <v>753</v>
      </c>
      <c r="D114">
        <v>163</v>
      </c>
    </row>
    <row r="115" spans="1:4" x14ac:dyDescent="0.25">
      <c r="A115" t="s">
        <v>1850</v>
      </c>
      <c r="B115">
        <v>2024</v>
      </c>
      <c r="C115" t="s">
        <v>752</v>
      </c>
      <c r="D115">
        <v>4.875</v>
      </c>
    </row>
    <row r="116" spans="1:4" x14ac:dyDescent="0.25">
      <c r="A116" t="s">
        <v>147</v>
      </c>
      <c r="B116">
        <v>2023</v>
      </c>
      <c r="C116" t="s">
        <v>779</v>
      </c>
      <c r="D116">
        <v>1.365</v>
      </c>
    </row>
    <row r="117" spans="1:4" x14ac:dyDescent="0.25">
      <c r="A117" t="s">
        <v>47</v>
      </c>
      <c r="B117">
        <v>2023</v>
      </c>
      <c r="C117" t="s">
        <v>715</v>
      </c>
      <c r="D117">
        <v>2.8610000000000002</v>
      </c>
    </row>
    <row r="118" spans="1:4" x14ac:dyDescent="0.25">
      <c r="A118" t="s">
        <v>214</v>
      </c>
      <c r="B118">
        <v>2024</v>
      </c>
      <c r="C118" t="s">
        <v>761</v>
      </c>
      <c r="D118">
        <v>340</v>
      </c>
    </row>
    <row r="119" spans="1:4" x14ac:dyDescent="0.25">
      <c r="A119" t="s">
        <v>64</v>
      </c>
      <c r="B119">
        <v>2016</v>
      </c>
    </row>
    <row r="120" spans="1:4" x14ac:dyDescent="0.25">
      <c r="A120" t="s">
        <v>178</v>
      </c>
      <c r="B120">
        <v>2024</v>
      </c>
      <c r="C120" t="s">
        <v>755</v>
      </c>
      <c r="D120">
        <v>6.6440000000000001</v>
      </c>
    </row>
    <row r="121" spans="1:4" x14ac:dyDescent="0.25">
      <c r="A121" t="s">
        <v>153</v>
      </c>
      <c r="B121">
        <v>2024</v>
      </c>
      <c r="C121" t="s">
        <v>760</v>
      </c>
      <c r="D121">
        <v>65</v>
      </c>
    </row>
    <row r="122" spans="1:4" x14ac:dyDescent="0.25">
      <c r="A122" t="s">
        <v>175</v>
      </c>
      <c r="B122">
        <v>2023</v>
      </c>
      <c r="C122" t="s">
        <v>757</v>
      </c>
      <c r="D122">
        <v>11.87</v>
      </c>
    </row>
    <row r="123" spans="1:4" x14ac:dyDescent="0.25">
      <c r="A123" t="s">
        <v>107</v>
      </c>
      <c r="B123">
        <v>2024</v>
      </c>
      <c r="C123" t="s">
        <v>762</v>
      </c>
      <c r="D123">
        <v>21</v>
      </c>
    </row>
    <row r="124" spans="1:4" x14ac:dyDescent="0.25">
      <c r="A124" t="s">
        <v>174</v>
      </c>
      <c r="B124">
        <v>2023</v>
      </c>
      <c r="C124" t="s">
        <v>717</v>
      </c>
      <c r="D124">
        <v>382</v>
      </c>
    </row>
    <row r="125" spans="1:4" x14ac:dyDescent="0.25">
      <c r="A125" t="s">
        <v>30</v>
      </c>
      <c r="B125">
        <v>2023</v>
      </c>
      <c r="C125" t="s">
        <v>780</v>
      </c>
      <c r="D125">
        <v>1.623</v>
      </c>
    </row>
    <row r="126" spans="1:4" x14ac:dyDescent="0.25">
      <c r="A126" t="s">
        <v>46</v>
      </c>
      <c r="B126">
        <v>2024</v>
      </c>
      <c r="C126" t="s">
        <v>756</v>
      </c>
      <c r="D126">
        <v>23.628</v>
      </c>
    </row>
    <row r="127" spans="1:4" x14ac:dyDescent="0.25">
      <c r="A127" t="s">
        <v>35</v>
      </c>
      <c r="B127">
        <v>2024</v>
      </c>
      <c r="C127" t="s">
        <v>674</v>
      </c>
      <c r="D127">
        <v>28.113</v>
      </c>
    </row>
    <row r="128" spans="1:4" x14ac:dyDescent="0.25">
      <c r="A128" t="s">
        <v>78</v>
      </c>
      <c r="B128">
        <v>2023</v>
      </c>
      <c r="C128" t="s">
        <v>767</v>
      </c>
      <c r="D128">
        <v>1.25</v>
      </c>
    </row>
    <row r="129" spans="1:4" x14ac:dyDescent="0.25">
      <c r="A129" t="s">
        <v>158</v>
      </c>
      <c r="B129">
        <v>2023</v>
      </c>
      <c r="C129" t="s">
        <v>768</v>
      </c>
      <c r="D129">
        <v>145</v>
      </c>
    </row>
    <row r="130" spans="1:4" x14ac:dyDescent="0.25">
      <c r="A130" t="s">
        <v>192</v>
      </c>
      <c r="B130">
        <v>2024</v>
      </c>
      <c r="C130" t="s">
        <v>766</v>
      </c>
      <c r="D130">
        <v>193</v>
      </c>
    </row>
    <row r="131" spans="1:4" x14ac:dyDescent="0.25">
      <c r="A131" t="s">
        <v>18</v>
      </c>
      <c r="B131">
        <v>2023</v>
      </c>
      <c r="C131" t="s">
        <v>771</v>
      </c>
      <c r="D131">
        <v>5.0599999999999996</v>
      </c>
    </row>
    <row r="132" spans="1:4" x14ac:dyDescent="0.25">
      <c r="A132" t="s">
        <v>83</v>
      </c>
      <c r="B132">
        <v>2023</v>
      </c>
      <c r="C132" t="s">
        <v>769</v>
      </c>
      <c r="D132">
        <v>1.3520000000000001</v>
      </c>
    </row>
    <row r="133" spans="1:4" x14ac:dyDescent="0.25">
      <c r="A133" t="s">
        <v>1851</v>
      </c>
      <c r="B133">
        <v>2024</v>
      </c>
      <c r="C133" t="s">
        <v>770</v>
      </c>
      <c r="D133">
        <v>3.7</v>
      </c>
    </row>
    <row r="134" spans="1:4" x14ac:dyDescent="0.25">
      <c r="A134" t="s">
        <v>51</v>
      </c>
      <c r="B134">
        <v>2024</v>
      </c>
      <c r="C134" t="s">
        <v>772</v>
      </c>
      <c r="D134">
        <v>1.8160000000000001</v>
      </c>
    </row>
    <row r="135" spans="1:4" x14ac:dyDescent="0.25">
      <c r="A135" t="s">
        <v>202</v>
      </c>
      <c r="B135">
        <v>2024</v>
      </c>
      <c r="C135" t="s">
        <v>773</v>
      </c>
      <c r="D135">
        <v>147</v>
      </c>
    </row>
    <row r="136" spans="1:4" x14ac:dyDescent="0.25">
      <c r="A136" t="s">
        <v>50</v>
      </c>
      <c r="B136">
        <v>2023</v>
      </c>
      <c r="C136" t="s">
        <v>774</v>
      </c>
      <c r="D136">
        <v>6.056</v>
      </c>
    </row>
    <row r="137" spans="1:4" x14ac:dyDescent="0.25">
      <c r="A137" t="s">
        <v>109</v>
      </c>
      <c r="B137">
        <v>2023</v>
      </c>
      <c r="C137" t="s">
        <v>778</v>
      </c>
      <c r="D137">
        <v>651</v>
      </c>
    </row>
    <row r="138" spans="1:4" x14ac:dyDescent="0.25">
      <c r="A138" t="s">
        <v>45</v>
      </c>
      <c r="B138">
        <v>2016</v>
      </c>
      <c r="C138" t="s">
        <v>775</v>
      </c>
      <c r="D138" t="s">
        <v>776</v>
      </c>
    </row>
    <row r="139" spans="1:4" x14ac:dyDescent="0.25">
      <c r="A139" t="s">
        <v>1852</v>
      </c>
      <c r="B139">
        <v>2023</v>
      </c>
      <c r="C139" t="s">
        <v>777</v>
      </c>
      <c r="D139">
        <v>727</v>
      </c>
    </row>
    <row r="140" spans="1:4" x14ac:dyDescent="0.25">
      <c r="A140" t="s">
        <v>135</v>
      </c>
      <c r="B140">
        <v>2024</v>
      </c>
      <c r="C140" t="s">
        <v>781</v>
      </c>
      <c r="D140">
        <v>215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E4FA-A311-40C0-8812-5EEA0A09EE14}">
  <dimension ref="A1:D193"/>
  <sheetViews>
    <sheetView topLeftCell="A13" workbookViewId="0">
      <selection activeCell="C93" sqref="C93:C98"/>
    </sheetView>
  </sheetViews>
  <sheetFormatPr baseColWidth="10" defaultRowHeight="15" x14ac:dyDescent="0.25"/>
  <cols>
    <col min="1" max="1" width="33.85546875" bestFit="1" customWidth="1"/>
    <col min="2" max="2" width="8.42578125" bestFit="1" customWidth="1"/>
    <col min="3" max="3" width="19" bestFit="1" customWidth="1"/>
    <col min="4" max="4" width="18.5703125" bestFit="1" customWidth="1"/>
  </cols>
  <sheetData>
    <row r="1" spans="1:4" x14ac:dyDescent="0.25">
      <c r="A1" t="s">
        <v>642</v>
      </c>
      <c r="B1" t="s">
        <v>643</v>
      </c>
      <c r="C1" t="s">
        <v>782</v>
      </c>
      <c r="D1" t="s">
        <v>783</v>
      </c>
    </row>
    <row r="2" spans="1:4" x14ac:dyDescent="0.25">
      <c r="A2" t="s">
        <v>105</v>
      </c>
      <c r="B2">
        <v>2023</v>
      </c>
      <c r="C2">
        <v>1.4239999999999999</v>
      </c>
      <c r="D2" t="s">
        <v>803</v>
      </c>
    </row>
    <row r="3" spans="1:4" x14ac:dyDescent="0.25">
      <c r="A3" t="s">
        <v>133</v>
      </c>
      <c r="B3">
        <v>2024</v>
      </c>
      <c r="C3">
        <v>15.175000000000001</v>
      </c>
      <c r="D3" t="s">
        <v>805</v>
      </c>
    </row>
    <row r="4" spans="1:4" x14ac:dyDescent="0.25">
      <c r="A4" t="s">
        <v>5</v>
      </c>
      <c r="B4">
        <v>2024</v>
      </c>
      <c r="C4" t="s">
        <v>786</v>
      </c>
      <c r="D4" t="s">
        <v>787</v>
      </c>
    </row>
    <row r="5" spans="1:4" x14ac:dyDescent="0.25">
      <c r="A5" t="s">
        <v>139</v>
      </c>
      <c r="B5">
        <v>2023</v>
      </c>
      <c r="C5">
        <v>1.343</v>
      </c>
      <c r="D5" t="s">
        <v>801</v>
      </c>
    </row>
    <row r="6" spans="1:4" x14ac:dyDescent="0.25">
      <c r="A6" t="s">
        <v>116</v>
      </c>
      <c r="B6">
        <v>2024</v>
      </c>
      <c r="C6">
        <v>69.028000000000006</v>
      </c>
      <c r="D6" t="s">
        <v>807</v>
      </c>
    </row>
    <row r="7" spans="1:4" x14ac:dyDescent="0.25">
      <c r="A7" t="s">
        <v>108</v>
      </c>
      <c r="B7">
        <v>2024</v>
      </c>
      <c r="C7">
        <v>1.492</v>
      </c>
      <c r="D7" t="s">
        <v>804</v>
      </c>
    </row>
    <row r="8" spans="1:4" x14ac:dyDescent="0.25">
      <c r="A8" t="s">
        <v>157</v>
      </c>
      <c r="B8">
        <v>2024</v>
      </c>
      <c r="C8">
        <v>324.245</v>
      </c>
      <c r="D8" t="s">
        <v>945</v>
      </c>
    </row>
    <row r="9" spans="1:4" x14ac:dyDescent="0.25">
      <c r="A9" t="s">
        <v>138</v>
      </c>
      <c r="B9">
        <v>2024</v>
      </c>
      <c r="C9">
        <v>129.374</v>
      </c>
      <c r="D9" t="s">
        <v>848</v>
      </c>
    </row>
    <row r="10" spans="1:4" x14ac:dyDescent="0.25">
      <c r="A10" t="s">
        <v>152</v>
      </c>
      <c r="B10">
        <v>2024</v>
      </c>
      <c r="C10">
        <v>539.43700000000001</v>
      </c>
      <c r="D10" t="s">
        <v>808</v>
      </c>
    </row>
    <row r="11" spans="1:4" x14ac:dyDescent="0.25">
      <c r="A11" t="s">
        <v>207</v>
      </c>
      <c r="B11">
        <v>2024</v>
      </c>
      <c r="C11">
        <v>12.967000000000001</v>
      </c>
      <c r="D11" t="s">
        <v>806</v>
      </c>
    </row>
    <row r="12" spans="1:4" x14ac:dyDescent="0.25">
      <c r="A12" t="s">
        <v>56</v>
      </c>
      <c r="B12">
        <v>2024</v>
      </c>
      <c r="C12">
        <v>910.58699999999999</v>
      </c>
      <c r="D12" t="s">
        <v>810</v>
      </c>
    </row>
    <row r="13" spans="1:4" x14ac:dyDescent="0.25">
      <c r="A13" t="s">
        <v>15</v>
      </c>
      <c r="B13">
        <v>2024</v>
      </c>
      <c r="C13">
        <v>423.3</v>
      </c>
      <c r="D13" t="s">
        <v>809</v>
      </c>
    </row>
    <row r="14" spans="1:4" x14ac:dyDescent="0.25">
      <c r="A14" t="s">
        <v>40</v>
      </c>
      <c r="B14">
        <v>2024</v>
      </c>
      <c r="C14">
        <v>16.106000000000002</v>
      </c>
      <c r="D14" t="s">
        <v>811</v>
      </c>
    </row>
    <row r="15" spans="1:4" x14ac:dyDescent="0.25">
      <c r="A15" t="s">
        <v>96</v>
      </c>
      <c r="B15">
        <v>2024</v>
      </c>
      <c r="C15">
        <v>11.483000000000001</v>
      </c>
      <c r="D15" t="s">
        <v>825</v>
      </c>
    </row>
    <row r="16" spans="1:4" x14ac:dyDescent="0.25">
      <c r="A16" t="s">
        <v>1849</v>
      </c>
      <c r="B16">
        <v>2024</v>
      </c>
      <c r="C16">
        <v>181.00800000000001</v>
      </c>
      <c r="D16" t="s">
        <v>814</v>
      </c>
    </row>
    <row r="17" spans="1:4" x14ac:dyDescent="0.25">
      <c r="A17" t="s">
        <v>92</v>
      </c>
      <c r="B17">
        <v>2024</v>
      </c>
      <c r="C17">
        <v>7.4820000000000002</v>
      </c>
      <c r="D17" t="s">
        <v>813</v>
      </c>
    </row>
    <row r="18" spans="1:4" x14ac:dyDescent="0.25">
      <c r="A18" t="s">
        <v>115</v>
      </c>
      <c r="B18">
        <v>2023</v>
      </c>
      <c r="C18">
        <v>56.828000000000003</v>
      </c>
      <c r="D18" t="s">
        <v>818</v>
      </c>
    </row>
    <row r="19" spans="1:4" x14ac:dyDescent="0.25">
      <c r="A19" t="s">
        <v>24</v>
      </c>
      <c r="B19">
        <v>2024</v>
      </c>
      <c r="C19">
        <v>695.62599999999998</v>
      </c>
      <c r="D19" t="s">
        <v>815</v>
      </c>
    </row>
    <row r="20" spans="1:4" x14ac:dyDescent="0.25">
      <c r="A20" t="s">
        <v>93</v>
      </c>
      <c r="B20">
        <v>2024</v>
      </c>
      <c r="C20">
        <v>2.097</v>
      </c>
      <c r="D20" t="s">
        <v>829</v>
      </c>
    </row>
    <row r="21" spans="1:4" x14ac:dyDescent="0.25">
      <c r="A21" t="s">
        <v>995</v>
      </c>
      <c r="B21">
        <v>2024</v>
      </c>
      <c r="C21">
        <v>11.481</v>
      </c>
      <c r="D21" t="s">
        <v>820</v>
      </c>
    </row>
    <row r="22" spans="1:4" x14ac:dyDescent="0.25">
      <c r="A22" t="s">
        <v>34</v>
      </c>
      <c r="B22">
        <v>2024</v>
      </c>
      <c r="C22">
        <v>30.398</v>
      </c>
      <c r="D22" t="s">
        <v>828</v>
      </c>
    </row>
    <row r="23" spans="1:4" x14ac:dyDescent="0.25">
      <c r="A23" t="s">
        <v>32</v>
      </c>
      <c r="B23">
        <v>2024</v>
      </c>
      <c r="C23">
        <v>46.003999999999998</v>
      </c>
      <c r="D23" t="s">
        <v>822</v>
      </c>
    </row>
    <row r="24" spans="1:4" x14ac:dyDescent="0.25">
      <c r="A24" t="s">
        <v>63</v>
      </c>
      <c r="B24">
        <v>2024</v>
      </c>
      <c r="C24">
        <v>8.7439999999999998</v>
      </c>
      <c r="D24" t="s">
        <v>812</v>
      </c>
    </row>
    <row r="25" spans="1:4" x14ac:dyDescent="0.25">
      <c r="A25" t="s">
        <v>22</v>
      </c>
      <c r="B25">
        <v>2023</v>
      </c>
      <c r="C25">
        <v>4.3630000000000004</v>
      </c>
      <c r="D25" t="s">
        <v>827</v>
      </c>
    </row>
    <row r="26" spans="1:4" x14ac:dyDescent="0.25">
      <c r="A26" t="s">
        <v>74</v>
      </c>
      <c r="B26">
        <v>2024</v>
      </c>
      <c r="C26" t="s">
        <v>823</v>
      </c>
      <c r="D26" t="s">
        <v>824</v>
      </c>
    </row>
    <row r="27" spans="1:4" x14ac:dyDescent="0.25">
      <c r="A27" t="s">
        <v>14</v>
      </c>
      <c r="B27">
        <v>2023</v>
      </c>
      <c r="C27">
        <v>352</v>
      </c>
      <c r="D27" t="s">
        <v>821</v>
      </c>
    </row>
    <row r="28" spans="1:4" x14ac:dyDescent="0.25">
      <c r="A28" t="s">
        <v>113</v>
      </c>
      <c r="B28">
        <v>2024</v>
      </c>
      <c r="C28">
        <v>27.024000000000001</v>
      </c>
      <c r="D28" t="s">
        <v>817</v>
      </c>
    </row>
    <row r="29" spans="1:4" x14ac:dyDescent="0.25">
      <c r="A29" t="s">
        <v>172</v>
      </c>
      <c r="B29">
        <v>2024</v>
      </c>
      <c r="C29">
        <v>13.241</v>
      </c>
      <c r="D29" t="s">
        <v>816</v>
      </c>
    </row>
    <row r="30" spans="1:4" x14ac:dyDescent="0.25">
      <c r="A30" t="s">
        <v>140</v>
      </c>
      <c r="B30">
        <v>2024</v>
      </c>
      <c r="C30">
        <v>2.5110000000000001</v>
      </c>
      <c r="D30" t="s">
        <v>819</v>
      </c>
    </row>
    <row r="31" spans="1:4" x14ac:dyDescent="0.25">
      <c r="A31" t="s">
        <v>206</v>
      </c>
      <c r="B31">
        <v>2024</v>
      </c>
      <c r="C31">
        <v>3.3319999999999999</v>
      </c>
      <c r="D31" t="s">
        <v>826</v>
      </c>
    </row>
    <row r="32" spans="1:4" x14ac:dyDescent="0.25">
      <c r="A32" t="s">
        <v>184</v>
      </c>
      <c r="B32">
        <v>2024</v>
      </c>
      <c r="C32">
        <v>3.032</v>
      </c>
      <c r="D32" t="s">
        <v>841</v>
      </c>
    </row>
    <row r="33" spans="1:4" x14ac:dyDescent="0.25">
      <c r="A33" t="s">
        <v>173</v>
      </c>
      <c r="B33">
        <v>2024</v>
      </c>
      <c r="C33">
        <v>11.938000000000001</v>
      </c>
      <c r="D33" t="s">
        <v>885</v>
      </c>
    </row>
    <row r="34" spans="1:4" x14ac:dyDescent="0.25">
      <c r="A34" t="s">
        <v>111</v>
      </c>
      <c r="B34">
        <v>2024</v>
      </c>
      <c r="C34">
        <v>23.297000000000001</v>
      </c>
      <c r="D34" t="s">
        <v>838</v>
      </c>
    </row>
    <row r="35" spans="1:4" x14ac:dyDescent="0.25">
      <c r="A35" t="s">
        <v>48</v>
      </c>
      <c r="B35">
        <v>2024</v>
      </c>
      <c r="C35" t="s">
        <v>830</v>
      </c>
      <c r="D35" t="s">
        <v>831</v>
      </c>
    </row>
    <row r="36" spans="1:4" x14ac:dyDescent="0.25">
      <c r="A36" t="s">
        <v>97</v>
      </c>
      <c r="B36">
        <v>2023</v>
      </c>
      <c r="C36">
        <v>93.022000000000006</v>
      </c>
      <c r="D36" t="s">
        <v>940</v>
      </c>
    </row>
    <row r="37" spans="1:4" x14ac:dyDescent="0.25">
      <c r="A37" t="s">
        <v>186</v>
      </c>
      <c r="B37">
        <v>2024</v>
      </c>
      <c r="C37">
        <v>6.4779999999999998</v>
      </c>
      <c r="D37" t="s">
        <v>962</v>
      </c>
    </row>
    <row r="38" spans="1:4" x14ac:dyDescent="0.25">
      <c r="A38" t="s">
        <v>1008</v>
      </c>
      <c r="B38">
        <v>2024</v>
      </c>
      <c r="C38">
        <v>150.404</v>
      </c>
      <c r="D38" t="s">
        <v>843</v>
      </c>
    </row>
    <row r="39" spans="1:4" x14ac:dyDescent="0.25">
      <c r="A39" t="s">
        <v>75</v>
      </c>
      <c r="B39">
        <v>2024</v>
      </c>
      <c r="C39">
        <v>137.53299999999999</v>
      </c>
      <c r="D39" t="s">
        <v>837</v>
      </c>
    </row>
    <row r="40" spans="1:4" x14ac:dyDescent="0.25">
      <c r="A40" t="s">
        <v>170</v>
      </c>
      <c r="B40">
        <v>2024</v>
      </c>
      <c r="C40" t="s">
        <v>799</v>
      </c>
      <c r="D40" t="s">
        <v>800</v>
      </c>
    </row>
    <row r="41" spans="1:4" x14ac:dyDescent="0.25">
      <c r="A41" t="s">
        <v>136</v>
      </c>
      <c r="B41">
        <v>2024</v>
      </c>
      <c r="C41">
        <v>23.64</v>
      </c>
      <c r="D41" t="s">
        <v>842</v>
      </c>
    </row>
    <row r="42" spans="1:4" x14ac:dyDescent="0.25">
      <c r="A42" t="s">
        <v>87</v>
      </c>
      <c r="B42">
        <v>2024</v>
      </c>
      <c r="C42">
        <v>256.46800000000002</v>
      </c>
      <c r="D42" t="s">
        <v>839</v>
      </c>
    </row>
    <row r="43" spans="1:4" x14ac:dyDescent="0.25">
      <c r="A43" t="s">
        <v>137</v>
      </c>
      <c r="B43">
        <v>2024</v>
      </c>
      <c r="C43">
        <v>464</v>
      </c>
      <c r="D43" t="s">
        <v>887</v>
      </c>
    </row>
    <row r="44" spans="1:4" x14ac:dyDescent="0.25">
      <c r="A44" t="s">
        <v>26</v>
      </c>
      <c r="B44">
        <v>2024</v>
      </c>
      <c r="C44">
        <v>934.22500000000002</v>
      </c>
      <c r="D44" t="s">
        <v>889</v>
      </c>
    </row>
    <row r="45" spans="1:4" x14ac:dyDescent="0.25">
      <c r="A45" t="s">
        <v>200</v>
      </c>
      <c r="B45">
        <v>2024</v>
      </c>
      <c r="C45">
        <v>51.606999999999999</v>
      </c>
      <c r="D45" t="s">
        <v>836</v>
      </c>
    </row>
    <row r="46" spans="1:4" x14ac:dyDescent="0.25">
      <c r="A46" t="s">
        <v>160</v>
      </c>
      <c r="B46">
        <v>2024</v>
      </c>
      <c r="C46">
        <v>56.984000000000002</v>
      </c>
      <c r="D46" t="s">
        <v>840</v>
      </c>
    </row>
    <row r="47" spans="1:4" x14ac:dyDescent="0.25">
      <c r="A47" t="s">
        <v>117</v>
      </c>
      <c r="B47">
        <v>2024</v>
      </c>
      <c r="C47">
        <v>53.326999999999998</v>
      </c>
      <c r="D47" t="s">
        <v>870</v>
      </c>
    </row>
    <row r="48" spans="1:4" x14ac:dyDescent="0.25">
      <c r="A48" t="s">
        <v>102</v>
      </c>
      <c r="B48">
        <v>2024</v>
      </c>
      <c r="C48">
        <v>133.52500000000001</v>
      </c>
      <c r="D48" t="s">
        <v>845</v>
      </c>
    </row>
    <row r="49" spans="1:4" x14ac:dyDescent="0.25">
      <c r="A49" t="s">
        <v>159</v>
      </c>
      <c r="B49">
        <v>2023</v>
      </c>
      <c r="C49">
        <v>675</v>
      </c>
      <c r="D49" t="s">
        <v>846</v>
      </c>
    </row>
    <row r="50" spans="1:4" x14ac:dyDescent="0.25">
      <c r="A50" t="s">
        <v>134</v>
      </c>
      <c r="B50">
        <v>2024</v>
      </c>
      <c r="C50">
        <v>67.019000000000005</v>
      </c>
      <c r="D50" t="s">
        <v>849</v>
      </c>
    </row>
    <row r="51" spans="1:4" x14ac:dyDescent="0.25">
      <c r="A51" t="s">
        <v>154</v>
      </c>
      <c r="B51">
        <v>2024</v>
      </c>
      <c r="C51">
        <v>348.34199999999998</v>
      </c>
      <c r="D51" t="s">
        <v>851</v>
      </c>
    </row>
    <row r="52" spans="1:4" x14ac:dyDescent="0.25">
      <c r="A52" t="s">
        <v>131</v>
      </c>
      <c r="B52">
        <v>2024</v>
      </c>
      <c r="C52">
        <v>30.949000000000002</v>
      </c>
      <c r="D52" t="s">
        <v>959</v>
      </c>
    </row>
    <row r="53" spans="1:4" x14ac:dyDescent="0.25">
      <c r="A53" t="s">
        <v>190</v>
      </c>
      <c r="B53">
        <v>2023</v>
      </c>
      <c r="C53">
        <v>166.76300000000001</v>
      </c>
      <c r="D53" t="s">
        <v>802</v>
      </c>
    </row>
    <row r="54" spans="1:4" x14ac:dyDescent="0.25">
      <c r="A54" t="s">
        <v>98</v>
      </c>
      <c r="B54">
        <v>2020</v>
      </c>
      <c r="C54">
        <v>3.794</v>
      </c>
      <c r="D54" t="s">
        <v>852</v>
      </c>
    </row>
    <row r="55" spans="1:4" x14ac:dyDescent="0.25">
      <c r="A55" t="s">
        <v>20</v>
      </c>
      <c r="B55">
        <v>2024</v>
      </c>
      <c r="C55">
        <v>81.117999999999995</v>
      </c>
      <c r="D55" t="s">
        <v>952</v>
      </c>
    </row>
    <row r="56" spans="1:4" x14ac:dyDescent="0.25">
      <c r="A56" t="s">
        <v>27</v>
      </c>
      <c r="B56">
        <v>2024</v>
      </c>
      <c r="C56">
        <v>48.579000000000001</v>
      </c>
      <c r="D56" t="s">
        <v>951</v>
      </c>
    </row>
    <row r="57" spans="1:4" x14ac:dyDescent="0.25">
      <c r="A57" t="s">
        <v>95</v>
      </c>
      <c r="B57">
        <v>2025</v>
      </c>
      <c r="C57" t="s">
        <v>784</v>
      </c>
      <c r="D57" t="s">
        <v>785</v>
      </c>
    </row>
    <row r="58" spans="1:4" x14ac:dyDescent="0.25">
      <c r="A58" t="s">
        <v>104</v>
      </c>
      <c r="B58">
        <v>2024</v>
      </c>
      <c r="C58">
        <v>8.9909999999999997</v>
      </c>
      <c r="D58" t="s">
        <v>937</v>
      </c>
    </row>
    <row r="59" spans="1:4" x14ac:dyDescent="0.25">
      <c r="A59" t="s">
        <v>1847</v>
      </c>
      <c r="B59">
        <v>2021</v>
      </c>
      <c r="C59">
        <v>66</v>
      </c>
      <c r="D59" t="s">
        <v>856</v>
      </c>
    </row>
    <row r="60" spans="1:4" x14ac:dyDescent="0.25">
      <c r="A60" t="s">
        <v>69</v>
      </c>
      <c r="B60">
        <v>2024</v>
      </c>
      <c r="C60" t="s">
        <v>795</v>
      </c>
      <c r="D60" t="s">
        <v>796</v>
      </c>
    </row>
    <row r="61" spans="1:4" x14ac:dyDescent="0.25">
      <c r="A61" t="s">
        <v>13</v>
      </c>
      <c r="B61">
        <v>2024</v>
      </c>
      <c r="C61">
        <v>10.092000000000001</v>
      </c>
      <c r="D61" t="s">
        <v>850</v>
      </c>
    </row>
    <row r="62" spans="1:4" x14ac:dyDescent="0.25">
      <c r="A62" t="s">
        <v>1016</v>
      </c>
      <c r="B62">
        <v>2023</v>
      </c>
      <c r="C62">
        <v>1.843</v>
      </c>
      <c r="D62" t="s">
        <v>961</v>
      </c>
    </row>
    <row r="63" spans="1:4" x14ac:dyDescent="0.25">
      <c r="A63" t="s">
        <v>218</v>
      </c>
      <c r="B63">
        <v>2023</v>
      </c>
      <c r="C63">
        <v>61.887</v>
      </c>
      <c r="D63" t="s">
        <v>853</v>
      </c>
    </row>
    <row r="64" spans="1:4" x14ac:dyDescent="0.25">
      <c r="A64" t="s">
        <v>155</v>
      </c>
      <c r="B64">
        <v>2024</v>
      </c>
      <c r="C64">
        <v>261.40199999999999</v>
      </c>
      <c r="D64" t="s">
        <v>934</v>
      </c>
    </row>
    <row r="65" spans="1:4" x14ac:dyDescent="0.25">
      <c r="A65" t="s">
        <v>3</v>
      </c>
      <c r="B65">
        <v>2024</v>
      </c>
      <c r="C65">
        <v>245.304</v>
      </c>
      <c r="D65" t="s">
        <v>854</v>
      </c>
    </row>
    <row r="66" spans="1:4" x14ac:dyDescent="0.25">
      <c r="A66" t="s">
        <v>118</v>
      </c>
      <c r="B66">
        <v>2024</v>
      </c>
      <c r="C66">
        <v>4.5780000000000003</v>
      </c>
      <c r="D66" t="s">
        <v>855</v>
      </c>
    </row>
    <row r="67" spans="1:4" x14ac:dyDescent="0.25">
      <c r="A67" t="s">
        <v>23</v>
      </c>
      <c r="B67">
        <v>2024</v>
      </c>
      <c r="C67" t="s">
        <v>790</v>
      </c>
      <c r="D67" t="s">
        <v>791</v>
      </c>
    </row>
    <row r="68" spans="1:4" x14ac:dyDescent="0.25">
      <c r="A68" t="s">
        <v>84</v>
      </c>
      <c r="B68">
        <v>2023</v>
      </c>
      <c r="C68">
        <v>14.159000000000001</v>
      </c>
      <c r="D68" t="s">
        <v>857</v>
      </c>
    </row>
    <row r="69" spans="1:4" x14ac:dyDescent="0.25">
      <c r="A69" t="s">
        <v>194</v>
      </c>
      <c r="B69">
        <v>2023</v>
      </c>
      <c r="C69">
        <v>1.8009999999999999</v>
      </c>
      <c r="D69" t="s">
        <v>861</v>
      </c>
    </row>
    <row r="70" spans="1:4" x14ac:dyDescent="0.25">
      <c r="A70" t="s">
        <v>209</v>
      </c>
      <c r="B70">
        <v>2024</v>
      </c>
      <c r="C70">
        <v>12.191000000000001</v>
      </c>
      <c r="D70" t="s">
        <v>859</v>
      </c>
    </row>
    <row r="71" spans="1:4" x14ac:dyDescent="0.25">
      <c r="A71" t="s">
        <v>193</v>
      </c>
      <c r="B71">
        <v>2023</v>
      </c>
      <c r="C71">
        <v>63.706000000000003</v>
      </c>
      <c r="D71" t="s">
        <v>860</v>
      </c>
    </row>
    <row r="72" spans="1:4" x14ac:dyDescent="0.25">
      <c r="A72" t="s">
        <v>156</v>
      </c>
      <c r="B72">
        <v>2022</v>
      </c>
      <c r="C72">
        <v>970</v>
      </c>
      <c r="D72" t="s">
        <v>858</v>
      </c>
    </row>
    <row r="73" spans="1:4" x14ac:dyDescent="0.25">
      <c r="A73" t="s">
        <v>65</v>
      </c>
      <c r="B73">
        <v>2024</v>
      </c>
      <c r="C73">
        <v>397.91899999999998</v>
      </c>
      <c r="D73" t="s">
        <v>864</v>
      </c>
    </row>
    <row r="74" spans="1:4" x14ac:dyDescent="0.25">
      <c r="A74" t="s">
        <v>144</v>
      </c>
      <c r="B74">
        <v>2024</v>
      </c>
      <c r="C74">
        <v>29.794</v>
      </c>
      <c r="D74" t="s">
        <v>865</v>
      </c>
    </row>
    <row r="75" spans="1:4" x14ac:dyDescent="0.25">
      <c r="A75" t="s">
        <v>201</v>
      </c>
      <c r="B75">
        <v>2024</v>
      </c>
      <c r="C75">
        <v>11.832000000000001</v>
      </c>
      <c r="D75" t="s">
        <v>862</v>
      </c>
    </row>
    <row r="76" spans="1:4" x14ac:dyDescent="0.25">
      <c r="A76" t="s">
        <v>198</v>
      </c>
      <c r="B76">
        <v>2023</v>
      </c>
      <c r="C76">
        <v>4.8230000000000004</v>
      </c>
      <c r="D76" t="s">
        <v>863</v>
      </c>
    </row>
    <row r="77" spans="1:4" x14ac:dyDescent="0.25">
      <c r="A77" t="s">
        <v>183</v>
      </c>
      <c r="B77">
        <v>2024</v>
      </c>
      <c r="C77">
        <v>1.7969999999999999</v>
      </c>
      <c r="D77" t="s">
        <v>866</v>
      </c>
    </row>
    <row r="78" spans="1:4" x14ac:dyDescent="0.25">
      <c r="A78" t="s">
        <v>62</v>
      </c>
      <c r="B78">
        <v>2023</v>
      </c>
      <c r="C78">
        <v>4.5090000000000003</v>
      </c>
      <c r="D78" t="s">
        <v>867</v>
      </c>
    </row>
    <row r="79" spans="1:4" x14ac:dyDescent="0.25">
      <c r="A79" t="s">
        <v>91</v>
      </c>
      <c r="B79">
        <v>2024</v>
      </c>
      <c r="C79">
        <v>3.92</v>
      </c>
      <c r="D79" t="s">
        <v>871</v>
      </c>
    </row>
    <row r="80" spans="1:4" x14ac:dyDescent="0.25">
      <c r="A80" t="s">
        <v>132</v>
      </c>
      <c r="B80">
        <v>2024</v>
      </c>
      <c r="C80">
        <v>17.463999999999999</v>
      </c>
      <c r="D80" t="s">
        <v>869</v>
      </c>
    </row>
    <row r="81" spans="1:4" x14ac:dyDescent="0.25">
      <c r="A81" t="s">
        <v>124</v>
      </c>
      <c r="B81">
        <v>2024</v>
      </c>
      <c r="C81">
        <v>38.503</v>
      </c>
      <c r="D81" t="s">
        <v>868</v>
      </c>
    </row>
    <row r="82" spans="1:4" x14ac:dyDescent="0.25">
      <c r="A82" t="s">
        <v>6</v>
      </c>
      <c r="B82">
        <v>2024</v>
      </c>
      <c r="C82">
        <v>163.845</v>
      </c>
      <c r="D82" t="s">
        <v>872</v>
      </c>
    </row>
    <row r="83" spans="1:4" x14ac:dyDescent="0.25">
      <c r="A83" t="s">
        <v>212</v>
      </c>
      <c r="B83">
        <v>2023</v>
      </c>
      <c r="C83" t="s">
        <v>876</v>
      </c>
      <c r="D83" t="s">
        <v>877</v>
      </c>
    </row>
    <row r="84" spans="1:4" x14ac:dyDescent="0.25">
      <c r="A84" t="s">
        <v>180</v>
      </c>
      <c r="B84">
        <v>2024</v>
      </c>
      <c r="C84">
        <v>560.83199999999999</v>
      </c>
      <c r="D84" t="s">
        <v>873</v>
      </c>
    </row>
    <row r="85" spans="1:4" x14ac:dyDescent="0.25">
      <c r="A85" t="s">
        <v>7</v>
      </c>
      <c r="B85">
        <v>2024</v>
      </c>
      <c r="C85">
        <v>129.51300000000001</v>
      </c>
      <c r="D85" t="s">
        <v>878</v>
      </c>
    </row>
    <row r="86" spans="1:4" x14ac:dyDescent="0.25">
      <c r="A86" t="s">
        <v>44</v>
      </c>
      <c r="B86">
        <v>2022</v>
      </c>
      <c r="C86">
        <v>138.934</v>
      </c>
      <c r="D86" t="s">
        <v>879</v>
      </c>
    </row>
    <row r="87" spans="1:4" x14ac:dyDescent="0.25">
      <c r="A87" t="s">
        <v>58</v>
      </c>
      <c r="B87">
        <v>2024</v>
      </c>
      <c r="C87">
        <v>236.08099999999999</v>
      </c>
      <c r="D87" t="s">
        <v>874</v>
      </c>
    </row>
    <row r="88" spans="1:4" x14ac:dyDescent="0.25">
      <c r="A88" t="s">
        <v>36</v>
      </c>
      <c r="B88">
        <v>2023</v>
      </c>
      <c r="C88">
        <v>19.498000000000001</v>
      </c>
      <c r="D88" t="s">
        <v>880</v>
      </c>
    </row>
    <row r="89" spans="1:4" x14ac:dyDescent="0.25">
      <c r="A89" t="s">
        <v>85</v>
      </c>
      <c r="B89">
        <v>2023</v>
      </c>
      <c r="C89">
        <v>48</v>
      </c>
      <c r="D89" t="s">
        <v>907</v>
      </c>
    </row>
    <row r="90" spans="1:4" x14ac:dyDescent="0.25">
      <c r="A90" t="s">
        <v>88</v>
      </c>
      <c r="B90">
        <v>2022</v>
      </c>
      <c r="C90">
        <v>243</v>
      </c>
      <c r="D90" t="s">
        <v>946</v>
      </c>
    </row>
    <row r="91" spans="1:4" x14ac:dyDescent="0.25">
      <c r="A91" t="s">
        <v>103</v>
      </c>
      <c r="B91">
        <v>2024</v>
      </c>
      <c r="C91">
        <v>366.803</v>
      </c>
      <c r="D91" t="s">
        <v>875</v>
      </c>
    </row>
    <row r="92" spans="1:4" x14ac:dyDescent="0.25">
      <c r="A92" t="s">
        <v>10</v>
      </c>
      <c r="B92">
        <v>2024</v>
      </c>
      <c r="C92" t="s">
        <v>792</v>
      </c>
      <c r="D92" t="s">
        <v>793</v>
      </c>
    </row>
    <row r="93" spans="1:4" x14ac:dyDescent="0.25">
      <c r="A93" t="s">
        <v>2</v>
      </c>
      <c r="B93">
        <v>2024</v>
      </c>
      <c r="C93">
        <v>14.032</v>
      </c>
      <c r="D93" t="s">
        <v>881</v>
      </c>
    </row>
    <row r="94" spans="1:4" x14ac:dyDescent="0.25">
      <c r="A94" t="s">
        <v>31</v>
      </c>
      <c r="B94">
        <v>2023</v>
      </c>
      <c r="C94" t="s">
        <v>797</v>
      </c>
      <c r="D94" t="s">
        <v>798</v>
      </c>
    </row>
    <row r="95" spans="1:4" x14ac:dyDescent="0.25">
      <c r="A95" t="s">
        <v>89</v>
      </c>
      <c r="B95">
        <v>2024</v>
      </c>
      <c r="C95">
        <v>48.206000000000003</v>
      </c>
      <c r="D95" t="s">
        <v>882</v>
      </c>
    </row>
    <row r="96" spans="1:4" x14ac:dyDescent="0.25">
      <c r="A96" t="s">
        <v>199</v>
      </c>
      <c r="B96">
        <v>2023</v>
      </c>
      <c r="C96">
        <v>60.176000000000002</v>
      </c>
      <c r="D96" t="s">
        <v>891</v>
      </c>
    </row>
    <row r="97" spans="1:4" x14ac:dyDescent="0.25">
      <c r="A97" t="s">
        <v>165</v>
      </c>
      <c r="B97">
        <v>2024</v>
      </c>
      <c r="C97">
        <v>80.338999999999999</v>
      </c>
      <c r="D97" t="s">
        <v>883</v>
      </c>
    </row>
    <row r="98" spans="1:4" x14ac:dyDescent="0.25">
      <c r="A98" t="s">
        <v>57</v>
      </c>
      <c r="B98">
        <v>2024</v>
      </c>
      <c r="C98">
        <v>6.5629999999999997</v>
      </c>
      <c r="D98" t="s">
        <v>884</v>
      </c>
    </row>
    <row r="99" spans="1:4" x14ac:dyDescent="0.25">
      <c r="A99" t="s">
        <v>149</v>
      </c>
      <c r="B99">
        <v>2023</v>
      </c>
      <c r="C99">
        <v>33</v>
      </c>
      <c r="D99" t="s">
        <v>886</v>
      </c>
    </row>
    <row r="100" spans="1:4" x14ac:dyDescent="0.25">
      <c r="A100" t="s">
        <v>122</v>
      </c>
      <c r="B100">
        <v>2023</v>
      </c>
      <c r="C100">
        <v>5.1829999999999998</v>
      </c>
      <c r="D100" t="s">
        <v>890</v>
      </c>
    </row>
    <row r="101" spans="1:4" x14ac:dyDescent="0.25">
      <c r="A101" t="s">
        <v>163</v>
      </c>
      <c r="B101">
        <v>2024</v>
      </c>
      <c r="C101">
        <v>15.984</v>
      </c>
      <c r="D101" t="s">
        <v>892</v>
      </c>
    </row>
    <row r="102" spans="1:4" x14ac:dyDescent="0.25">
      <c r="A102" t="s">
        <v>39</v>
      </c>
      <c r="B102">
        <v>2023</v>
      </c>
      <c r="C102">
        <v>1.361</v>
      </c>
      <c r="D102" t="s">
        <v>898</v>
      </c>
    </row>
    <row r="103" spans="1:4" x14ac:dyDescent="0.25">
      <c r="A103" t="s">
        <v>71</v>
      </c>
      <c r="B103">
        <v>2024</v>
      </c>
      <c r="C103">
        <v>20.343</v>
      </c>
      <c r="D103" t="s">
        <v>901</v>
      </c>
    </row>
    <row r="104" spans="1:4" x14ac:dyDescent="0.25">
      <c r="A104" t="s">
        <v>142</v>
      </c>
      <c r="B104">
        <v>2021</v>
      </c>
      <c r="C104">
        <v>70.858000000000004</v>
      </c>
      <c r="D104" t="s">
        <v>893</v>
      </c>
    </row>
    <row r="105" spans="1:4" x14ac:dyDescent="0.25">
      <c r="A105" t="s">
        <v>181</v>
      </c>
      <c r="B105">
        <v>2024</v>
      </c>
      <c r="C105">
        <v>2.7320000000000002</v>
      </c>
      <c r="D105" t="s">
        <v>897</v>
      </c>
    </row>
    <row r="106" spans="1:4" x14ac:dyDescent="0.25">
      <c r="A106" t="s">
        <v>59</v>
      </c>
      <c r="B106">
        <v>2014</v>
      </c>
      <c r="C106">
        <v>16.164000000000001</v>
      </c>
      <c r="D106" t="s">
        <v>902</v>
      </c>
    </row>
    <row r="107" spans="1:4" x14ac:dyDescent="0.25">
      <c r="A107" t="s">
        <v>1</v>
      </c>
      <c r="B107">
        <v>2023</v>
      </c>
      <c r="C107">
        <v>39</v>
      </c>
      <c r="D107" t="s">
        <v>895</v>
      </c>
    </row>
    <row r="108" spans="1:4" x14ac:dyDescent="0.25">
      <c r="A108" t="s">
        <v>101</v>
      </c>
      <c r="B108">
        <v>2024</v>
      </c>
      <c r="C108">
        <v>32.430999999999997</v>
      </c>
      <c r="D108" t="s">
        <v>899</v>
      </c>
    </row>
    <row r="109" spans="1:4" x14ac:dyDescent="0.25">
      <c r="A109" t="s">
        <v>16</v>
      </c>
      <c r="B109">
        <v>2024</v>
      </c>
      <c r="C109">
        <v>24.513999999999999</v>
      </c>
      <c r="D109" t="s">
        <v>900</v>
      </c>
    </row>
    <row r="110" spans="1:4" x14ac:dyDescent="0.25">
      <c r="A110" t="s">
        <v>125</v>
      </c>
      <c r="B110">
        <v>2024</v>
      </c>
      <c r="C110">
        <v>9.1460000000000008</v>
      </c>
      <c r="D110" t="s">
        <v>908</v>
      </c>
    </row>
    <row r="111" spans="1:4" x14ac:dyDescent="0.25">
      <c r="A111" t="s">
        <v>100</v>
      </c>
      <c r="B111">
        <v>2024</v>
      </c>
      <c r="C111">
        <v>8.7680000000000007</v>
      </c>
      <c r="D111" t="s">
        <v>906</v>
      </c>
    </row>
    <row r="112" spans="1:4" x14ac:dyDescent="0.25">
      <c r="A112" t="s">
        <v>182</v>
      </c>
      <c r="B112">
        <v>2024</v>
      </c>
      <c r="C112">
        <v>295.916</v>
      </c>
      <c r="D112" t="s">
        <v>919</v>
      </c>
    </row>
    <row r="113" spans="1:4" x14ac:dyDescent="0.25">
      <c r="A113" t="s">
        <v>66</v>
      </c>
      <c r="B113">
        <v>2024</v>
      </c>
      <c r="C113">
        <v>10.332000000000001</v>
      </c>
      <c r="D113" t="s">
        <v>916</v>
      </c>
    </row>
    <row r="114" spans="1:4" x14ac:dyDescent="0.25">
      <c r="A114" t="s">
        <v>176</v>
      </c>
      <c r="B114">
        <v>2024</v>
      </c>
      <c r="C114">
        <v>9.4019999999999992</v>
      </c>
      <c r="D114" t="s">
        <v>915</v>
      </c>
    </row>
    <row r="115" spans="1:4" x14ac:dyDescent="0.25">
      <c r="A115" t="s">
        <v>166</v>
      </c>
      <c r="B115">
        <v>2023</v>
      </c>
      <c r="C115">
        <v>10.99</v>
      </c>
      <c r="D115" t="s">
        <v>909</v>
      </c>
    </row>
    <row r="116" spans="1:4" x14ac:dyDescent="0.25">
      <c r="A116" t="s">
        <v>141</v>
      </c>
      <c r="B116">
        <v>2024</v>
      </c>
      <c r="C116">
        <v>11.526999999999999</v>
      </c>
      <c r="D116" t="s">
        <v>913</v>
      </c>
    </row>
    <row r="117" spans="1:4" x14ac:dyDescent="0.25">
      <c r="A117" t="s">
        <v>167</v>
      </c>
      <c r="B117">
        <v>2024</v>
      </c>
      <c r="C117">
        <v>108.785</v>
      </c>
      <c r="D117" t="s">
        <v>903</v>
      </c>
    </row>
    <row r="118" spans="1:4" x14ac:dyDescent="0.25">
      <c r="A118" t="s">
        <v>114</v>
      </c>
      <c r="B118">
        <v>2023</v>
      </c>
      <c r="C118">
        <v>12.068</v>
      </c>
      <c r="D118" t="s">
        <v>914</v>
      </c>
    </row>
    <row r="119" spans="1:4" x14ac:dyDescent="0.25">
      <c r="A119" t="s">
        <v>148</v>
      </c>
      <c r="B119">
        <v>2023</v>
      </c>
      <c r="C119">
        <v>5.0529999999999999</v>
      </c>
      <c r="D119" t="s">
        <v>912</v>
      </c>
    </row>
    <row r="120" spans="1:4" x14ac:dyDescent="0.25">
      <c r="A120" t="s">
        <v>12</v>
      </c>
      <c r="B120">
        <v>2024</v>
      </c>
      <c r="C120" t="s">
        <v>917</v>
      </c>
      <c r="D120" t="s">
        <v>918</v>
      </c>
    </row>
    <row r="121" spans="1:4" x14ac:dyDescent="0.25">
      <c r="A121" t="s">
        <v>79</v>
      </c>
      <c r="B121">
        <v>2024</v>
      </c>
      <c r="C121">
        <v>7.0579999999999998</v>
      </c>
      <c r="D121" t="s">
        <v>904</v>
      </c>
    </row>
    <row r="122" spans="1:4" x14ac:dyDescent="0.25">
      <c r="A122" t="s">
        <v>203</v>
      </c>
      <c r="B122">
        <v>2024</v>
      </c>
      <c r="C122">
        <v>10.483000000000001</v>
      </c>
      <c r="D122" t="s">
        <v>911</v>
      </c>
    </row>
    <row r="123" spans="1:4" x14ac:dyDescent="0.25">
      <c r="A123" t="s">
        <v>90</v>
      </c>
      <c r="B123">
        <v>2024</v>
      </c>
      <c r="C123">
        <v>5.0259999999999998</v>
      </c>
      <c r="D123" t="s">
        <v>905</v>
      </c>
    </row>
    <row r="124" spans="1:4" x14ac:dyDescent="0.25">
      <c r="A124" t="s">
        <v>9</v>
      </c>
      <c r="B124">
        <v>2023</v>
      </c>
      <c r="C124">
        <v>23.876000000000001</v>
      </c>
      <c r="D124" t="s">
        <v>920</v>
      </c>
    </row>
    <row r="125" spans="1:4" x14ac:dyDescent="0.25">
      <c r="A125" t="s">
        <v>55</v>
      </c>
      <c r="B125">
        <v>2020</v>
      </c>
      <c r="C125">
        <v>31.975000000000001</v>
      </c>
      <c r="D125" t="s">
        <v>910</v>
      </c>
    </row>
    <row r="126" spans="1:4" x14ac:dyDescent="0.25">
      <c r="A126" t="s">
        <v>80</v>
      </c>
      <c r="B126">
        <v>2023</v>
      </c>
      <c r="C126">
        <v>8.3290000000000006</v>
      </c>
      <c r="D126" t="s">
        <v>921</v>
      </c>
    </row>
    <row r="127" spans="1:4" x14ac:dyDescent="0.25">
      <c r="A127" t="s">
        <v>73</v>
      </c>
      <c r="B127">
        <v>2024</v>
      </c>
      <c r="C127">
        <v>28</v>
      </c>
      <c r="D127" t="s">
        <v>928</v>
      </c>
    </row>
    <row r="128" spans="1:4" x14ac:dyDescent="0.25">
      <c r="A128" t="s">
        <v>161</v>
      </c>
      <c r="B128">
        <v>2024</v>
      </c>
      <c r="C128">
        <v>20.783999999999999</v>
      </c>
      <c r="D128" t="s">
        <v>927</v>
      </c>
    </row>
    <row r="129" spans="1:4" x14ac:dyDescent="0.25">
      <c r="A129" t="s">
        <v>169</v>
      </c>
      <c r="B129">
        <v>2024</v>
      </c>
      <c r="C129">
        <v>7.71</v>
      </c>
      <c r="D129" t="s">
        <v>924</v>
      </c>
    </row>
    <row r="130" spans="1:4" x14ac:dyDescent="0.25">
      <c r="A130" t="s">
        <v>204</v>
      </c>
      <c r="B130">
        <v>2024</v>
      </c>
      <c r="C130">
        <v>9.3810000000000002</v>
      </c>
      <c r="D130" t="s">
        <v>922</v>
      </c>
    </row>
    <row r="131" spans="1:4" x14ac:dyDescent="0.25">
      <c r="A131" t="s">
        <v>143</v>
      </c>
      <c r="B131">
        <v>2024</v>
      </c>
      <c r="C131">
        <v>99.162000000000006</v>
      </c>
      <c r="D131" t="s">
        <v>923</v>
      </c>
    </row>
    <row r="132" spans="1:4" x14ac:dyDescent="0.25">
      <c r="A132" t="s">
        <v>29</v>
      </c>
      <c r="B132">
        <v>2023</v>
      </c>
      <c r="C132">
        <v>213.124</v>
      </c>
      <c r="D132" t="s">
        <v>926</v>
      </c>
    </row>
    <row r="133" spans="1:4" x14ac:dyDescent="0.25">
      <c r="A133" t="s">
        <v>4</v>
      </c>
      <c r="B133">
        <v>2024</v>
      </c>
      <c r="C133">
        <v>129.81</v>
      </c>
      <c r="D133" t="s">
        <v>929</v>
      </c>
    </row>
    <row r="134" spans="1:4" x14ac:dyDescent="0.25">
      <c r="A134" t="s">
        <v>77</v>
      </c>
      <c r="B134">
        <v>2024</v>
      </c>
      <c r="C134">
        <v>37.979999999999997</v>
      </c>
      <c r="D134" t="s">
        <v>930</v>
      </c>
    </row>
    <row r="135" spans="1:4" x14ac:dyDescent="0.25">
      <c r="A135" t="s">
        <v>52</v>
      </c>
      <c r="B135">
        <v>2024</v>
      </c>
      <c r="C135">
        <v>531.92200000000003</v>
      </c>
      <c r="D135" t="s">
        <v>925</v>
      </c>
    </row>
    <row r="136" spans="1:4" x14ac:dyDescent="0.25">
      <c r="A136" t="s">
        <v>112</v>
      </c>
      <c r="B136">
        <v>2024</v>
      </c>
      <c r="C136">
        <v>261.42399999999998</v>
      </c>
      <c r="D136" t="s">
        <v>935</v>
      </c>
    </row>
    <row r="137" spans="1:4" x14ac:dyDescent="0.25">
      <c r="A137" t="s">
        <v>197</v>
      </c>
      <c r="B137">
        <v>2023</v>
      </c>
      <c r="C137">
        <v>211</v>
      </c>
      <c r="D137" t="s">
        <v>938</v>
      </c>
    </row>
    <row r="138" spans="1:4" x14ac:dyDescent="0.25">
      <c r="A138" t="s">
        <v>150</v>
      </c>
      <c r="B138">
        <v>2024</v>
      </c>
      <c r="C138">
        <v>49.648000000000003</v>
      </c>
      <c r="D138" t="s">
        <v>931</v>
      </c>
    </row>
    <row r="139" spans="1:4" x14ac:dyDescent="0.25">
      <c r="A139" t="s">
        <v>188</v>
      </c>
      <c r="B139">
        <v>2022</v>
      </c>
      <c r="C139">
        <v>15.253</v>
      </c>
      <c r="D139" t="s">
        <v>933</v>
      </c>
    </row>
    <row r="140" spans="1:4" x14ac:dyDescent="0.25">
      <c r="A140" t="s">
        <v>195</v>
      </c>
      <c r="B140">
        <v>2024</v>
      </c>
      <c r="C140">
        <v>19.902999999999999</v>
      </c>
      <c r="D140" t="s">
        <v>939</v>
      </c>
    </row>
    <row r="141" spans="1:4" x14ac:dyDescent="0.25">
      <c r="A141" t="s">
        <v>121</v>
      </c>
      <c r="B141">
        <v>2024</v>
      </c>
      <c r="C141">
        <v>94.74</v>
      </c>
      <c r="D141" t="s">
        <v>932</v>
      </c>
    </row>
    <row r="142" spans="1:4" x14ac:dyDescent="0.25">
      <c r="A142" t="s">
        <v>127</v>
      </c>
      <c r="B142">
        <v>2024</v>
      </c>
      <c r="C142">
        <v>505.42899999999997</v>
      </c>
      <c r="D142" t="s">
        <v>936</v>
      </c>
    </row>
    <row r="143" spans="1:4" x14ac:dyDescent="0.25">
      <c r="A143" t="s">
        <v>53</v>
      </c>
      <c r="B143">
        <v>2024</v>
      </c>
      <c r="C143">
        <v>292.93700000000001</v>
      </c>
      <c r="D143" t="s">
        <v>794</v>
      </c>
    </row>
    <row r="144" spans="1:4" x14ac:dyDescent="0.25">
      <c r="A144" t="s">
        <v>38</v>
      </c>
      <c r="B144">
        <v>2024</v>
      </c>
      <c r="C144" t="s">
        <v>788</v>
      </c>
      <c r="D144" t="s">
        <v>789</v>
      </c>
    </row>
    <row r="145" spans="1:4" x14ac:dyDescent="0.25">
      <c r="A145" t="s">
        <v>164</v>
      </c>
      <c r="B145">
        <v>2024</v>
      </c>
      <c r="C145">
        <v>1.7170000000000001</v>
      </c>
      <c r="D145" t="s">
        <v>833</v>
      </c>
    </row>
    <row r="146" spans="1:4" x14ac:dyDescent="0.25">
      <c r="A146" t="s">
        <v>1061</v>
      </c>
      <c r="B146">
        <v>2024</v>
      </c>
      <c r="C146">
        <v>14.483000000000001</v>
      </c>
      <c r="D146" t="s">
        <v>834</v>
      </c>
    </row>
    <row r="147" spans="1:4" x14ac:dyDescent="0.25">
      <c r="A147" t="s">
        <v>1062</v>
      </c>
      <c r="B147">
        <v>2023</v>
      </c>
      <c r="C147">
        <v>18.190999999999999</v>
      </c>
      <c r="D147" t="s">
        <v>832</v>
      </c>
    </row>
    <row r="148" spans="1:4" x14ac:dyDescent="0.25">
      <c r="A148" t="s">
        <v>70</v>
      </c>
      <c r="B148">
        <v>2024</v>
      </c>
      <c r="C148">
        <v>73.262</v>
      </c>
      <c r="D148" t="s">
        <v>847</v>
      </c>
    </row>
    <row r="149" spans="1:4" x14ac:dyDescent="0.25">
      <c r="A149" t="s">
        <v>205</v>
      </c>
      <c r="B149">
        <v>2023</v>
      </c>
      <c r="C149">
        <v>9.0890000000000004</v>
      </c>
      <c r="D149" t="s">
        <v>944</v>
      </c>
    </row>
    <row r="150" spans="1:4" x14ac:dyDescent="0.25">
      <c r="A150" t="s">
        <v>1850</v>
      </c>
      <c r="B150">
        <v>2024</v>
      </c>
      <c r="C150">
        <v>219.9</v>
      </c>
      <c r="D150" t="s">
        <v>941</v>
      </c>
    </row>
    <row r="151" spans="1:4" x14ac:dyDescent="0.25">
      <c r="A151" t="s">
        <v>25</v>
      </c>
      <c r="B151">
        <v>2024</v>
      </c>
      <c r="C151">
        <v>440.09</v>
      </c>
      <c r="D151" t="s">
        <v>943</v>
      </c>
    </row>
    <row r="152" spans="1:4" x14ac:dyDescent="0.25">
      <c r="A152" t="s">
        <v>147</v>
      </c>
      <c r="B152">
        <v>2024</v>
      </c>
      <c r="C152">
        <v>296</v>
      </c>
      <c r="D152" t="s">
        <v>983</v>
      </c>
    </row>
    <row r="153" spans="1:4" x14ac:dyDescent="0.25">
      <c r="A153" t="s">
        <v>41</v>
      </c>
      <c r="B153">
        <v>2024</v>
      </c>
      <c r="C153">
        <v>581</v>
      </c>
      <c r="D153" t="s">
        <v>888</v>
      </c>
    </row>
    <row r="154" spans="1:4" x14ac:dyDescent="0.25">
      <c r="A154" t="s">
        <v>42</v>
      </c>
      <c r="B154">
        <v>2022</v>
      </c>
      <c r="C154">
        <v>1.2929999999999999</v>
      </c>
      <c r="D154" t="s">
        <v>954</v>
      </c>
    </row>
    <row r="155" spans="1:4" x14ac:dyDescent="0.25">
      <c r="A155" t="s">
        <v>120</v>
      </c>
      <c r="B155">
        <v>2024</v>
      </c>
      <c r="C155">
        <v>1.077</v>
      </c>
      <c r="D155" t="s">
        <v>979</v>
      </c>
    </row>
    <row r="156" spans="1:4" x14ac:dyDescent="0.25">
      <c r="A156" t="s">
        <v>47</v>
      </c>
      <c r="B156">
        <v>2023</v>
      </c>
      <c r="C156">
        <v>1.837</v>
      </c>
      <c r="D156" t="s">
        <v>894</v>
      </c>
    </row>
    <row r="157" spans="1:4" x14ac:dyDescent="0.25">
      <c r="A157" t="s">
        <v>67</v>
      </c>
      <c r="B157">
        <v>2023</v>
      </c>
      <c r="C157">
        <v>510</v>
      </c>
      <c r="D157" t="s">
        <v>958</v>
      </c>
    </row>
    <row r="158" spans="1:4" x14ac:dyDescent="0.25">
      <c r="A158" t="s">
        <v>214</v>
      </c>
      <c r="B158">
        <v>2024</v>
      </c>
      <c r="C158">
        <v>42.146000000000001</v>
      </c>
      <c r="D158" t="s">
        <v>955</v>
      </c>
    </row>
    <row r="159" spans="1:4" x14ac:dyDescent="0.25">
      <c r="A159" t="s">
        <v>64</v>
      </c>
      <c r="B159">
        <v>2024</v>
      </c>
      <c r="C159">
        <v>39.619</v>
      </c>
      <c r="D159" t="s">
        <v>942</v>
      </c>
    </row>
    <row r="160" spans="1:4" x14ac:dyDescent="0.25">
      <c r="A160" t="s">
        <v>178</v>
      </c>
      <c r="B160">
        <v>2024</v>
      </c>
      <c r="C160">
        <v>1.2549999999999999</v>
      </c>
      <c r="D160" t="s">
        <v>947</v>
      </c>
    </row>
    <row r="161" spans="1:4" x14ac:dyDescent="0.25">
      <c r="A161" t="s">
        <v>153</v>
      </c>
      <c r="B161">
        <v>2024</v>
      </c>
      <c r="C161">
        <v>3.2530000000000001</v>
      </c>
      <c r="D161" t="s">
        <v>953</v>
      </c>
    </row>
    <row r="162" spans="1:4" x14ac:dyDescent="0.25">
      <c r="A162" t="s">
        <v>175</v>
      </c>
      <c r="B162">
        <v>2024</v>
      </c>
      <c r="C162">
        <v>968.87900000000002</v>
      </c>
      <c r="D162" t="s">
        <v>950</v>
      </c>
    </row>
    <row r="163" spans="1:4" x14ac:dyDescent="0.25">
      <c r="A163" t="s">
        <v>33</v>
      </c>
      <c r="B163">
        <v>2009</v>
      </c>
      <c r="C163">
        <v>16.835000000000001</v>
      </c>
      <c r="D163" t="s">
        <v>960</v>
      </c>
    </row>
    <row r="164" spans="1:4" x14ac:dyDescent="0.25">
      <c r="A164" t="s">
        <v>174</v>
      </c>
      <c r="B164">
        <v>2024</v>
      </c>
      <c r="C164">
        <v>99.795000000000002</v>
      </c>
      <c r="D164" t="s">
        <v>896</v>
      </c>
    </row>
    <row r="165" spans="1:4" x14ac:dyDescent="0.25">
      <c r="A165" t="s">
        <v>30</v>
      </c>
      <c r="B165">
        <v>2024</v>
      </c>
      <c r="C165">
        <v>305.56900000000002</v>
      </c>
      <c r="D165" t="s">
        <v>985</v>
      </c>
    </row>
    <row r="166" spans="1:4" x14ac:dyDescent="0.25">
      <c r="A166" t="s">
        <v>119</v>
      </c>
      <c r="B166">
        <v>2021</v>
      </c>
      <c r="C166">
        <v>66.641000000000005</v>
      </c>
      <c r="D166" t="s">
        <v>948</v>
      </c>
    </row>
    <row r="167" spans="1:4" x14ac:dyDescent="0.25">
      <c r="A167" t="s">
        <v>171</v>
      </c>
      <c r="B167">
        <v>2024</v>
      </c>
      <c r="C167">
        <v>2.355</v>
      </c>
      <c r="D167" t="s">
        <v>957</v>
      </c>
    </row>
    <row r="168" spans="1:4" x14ac:dyDescent="0.25">
      <c r="A168" t="s">
        <v>46</v>
      </c>
      <c r="B168">
        <v>2024</v>
      </c>
      <c r="C168">
        <v>199.15799999999999</v>
      </c>
      <c r="D168" t="s">
        <v>949</v>
      </c>
    </row>
    <row r="169" spans="1:4" x14ac:dyDescent="0.25">
      <c r="A169" t="s">
        <v>35</v>
      </c>
      <c r="B169">
        <v>2024</v>
      </c>
      <c r="C169">
        <v>352.00599999999997</v>
      </c>
      <c r="D169" t="s">
        <v>835</v>
      </c>
    </row>
    <row r="170" spans="1:4" x14ac:dyDescent="0.25">
      <c r="A170" t="s">
        <v>43</v>
      </c>
      <c r="B170">
        <v>2023</v>
      </c>
      <c r="C170">
        <v>3.3839999999999999</v>
      </c>
      <c r="D170" t="s">
        <v>956</v>
      </c>
    </row>
    <row r="171" spans="1:4" x14ac:dyDescent="0.25">
      <c r="A171" t="s">
        <v>78</v>
      </c>
      <c r="B171">
        <v>2023</v>
      </c>
      <c r="C171">
        <v>319.85399999999998</v>
      </c>
      <c r="D171" t="s">
        <v>964</v>
      </c>
    </row>
    <row r="172" spans="1:4" x14ac:dyDescent="0.25">
      <c r="A172" t="s">
        <v>1814</v>
      </c>
      <c r="B172">
        <v>2024</v>
      </c>
      <c r="C172">
        <v>209.97900000000001</v>
      </c>
      <c r="D172" t="s">
        <v>973</v>
      </c>
    </row>
    <row r="173" spans="1:4" x14ac:dyDescent="0.25">
      <c r="A173" t="s">
        <v>191</v>
      </c>
      <c r="B173">
        <v>2023</v>
      </c>
      <c r="C173">
        <v>37.463000000000001</v>
      </c>
      <c r="D173" t="s">
        <v>974</v>
      </c>
    </row>
    <row r="174" spans="1:4" x14ac:dyDescent="0.25">
      <c r="A174" t="s">
        <v>216</v>
      </c>
      <c r="B174">
        <v>2023</v>
      </c>
      <c r="C174">
        <v>3.6539999999999999</v>
      </c>
      <c r="D174" t="s">
        <v>965</v>
      </c>
    </row>
    <row r="175" spans="1:4" x14ac:dyDescent="0.25">
      <c r="A175" t="s">
        <v>158</v>
      </c>
      <c r="B175">
        <v>2024</v>
      </c>
      <c r="C175">
        <v>269</v>
      </c>
      <c r="D175" t="s">
        <v>966</v>
      </c>
    </row>
    <row r="176" spans="1:4" x14ac:dyDescent="0.25">
      <c r="A176" t="s">
        <v>192</v>
      </c>
      <c r="B176">
        <v>2024</v>
      </c>
      <c r="C176">
        <v>7.0469999999999997</v>
      </c>
      <c r="D176" t="s">
        <v>963</v>
      </c>
    </row>
    <row r="177" spans="1:4" x14ac:dyDescent="0.25">
      <c r="A177" t="s">
        <v>99</v>
      </c>
      <c r="B177">
        <v>2023</v>
      </c>
      <c r="C177">
        <v>225</v>
      </c>
      <c r="D177" t="s">
        <v>969</v>
      </c>
    </row>
    <row r="178" spans="1:4" x14ac:dyDescent="0.25">
      <c r="A178" t="s">
        <v>18</v>
      </c>
      <c r="B178">
        <v>2024</v>
      </c>
      <c r="C178">
        <v>16.459</v>
      </c>
      <c r="D178" t="s">
        <v>971</v>
      </c>
    </row>
    <row r="179" spans="1:4" x14ac:dyDescent="0.25">
      <c r="A179" t="s">
        <v>83</v>
      </c>
      <c r="B179">
        <v>2024</v>
      </c>
      <c r="C179">
        <v>44.134</v>
      </c>
      <c r="D179" t="s">
        <v>968</v>
      </c>
    </row>
    <row r="180" spans="1:4" x14ac:dyDescent="0.25">
      <c r="A180" t="s">
        <v>1851</v>
      </c>
      <c r="B180">
        <v>2024</v>
      </c>
      <c r="C180">
        <v>326.45999999999998</v>
      </c>
      <c r="D180" t="s">
        <v>970</v>
      </c>
    </row>
    <row r="181" spans="1:4" x14ac:dyDescent="0.25">
      <c r="A181" t="s">
        <v>128</v>
      </c>
      <c r="B181">
        <v>2024</v>
      </c>
      <c r="C181">
        <v>2.8239999999999998</v>
      </c>
      <c r="D181" t="s">
        <v>967</v>
      </c>
    </row>
    <row r="182" spans="1:4" x14ac:dyDescent="0.25">
      <c r="A182" t="s">
        <v>72</v>
      </c>
      <c r="B182">
        <v>2024</v>
      </c>
      <c r="C182">
        <v>4</v>
      </c>
      <c r="D182" t="s">
        <v>972</v>
      </c>
    </row>
    <row r="183" spans="1:4" x14ac:dyDescent="0.25">
      <c r="A183" t="s">
        <v>51</v>
      </c>
      <c r="B183">
        <v>2024</v>
      </c>
      <c r="C183">
        <v>171.08500000000001</v>
      </c>
      <c r="D183" t="s">
        <v>975</v>
      </c>
    </row>
    <row r="184" spans="1:4" x14ac:dyDescent="0.25">
      <c r="A184" t="s">
        <v>202</v>
      </c>
      <c r="B184">
        <v>2024</v>
      </c>
      <c r="C184">
        <v>28.954999999999998</v>
      </c>
      <c r="D184" t="s">
        <v>976</v>
      </c>
    </row>
    <row r="185" spans="1:4" x14ac:dyDescent="0.25">
      <c r="A185" t="s">
        <v>50</v>
      </c>
      <c r="B185">
        <v>2024</v>
      </c>
      <c r="C185">
        <v>55.612000000000002</v>
      </c>
      <c r="D185" t="s">
        <v>977</v>
      </c>
    </row>
    <row r="186" spans="1:4" x14ac:dyDescent="0.25">
      <c r="A186" t="s">
        <v>213</v>
      </c>
      <c r="B186">
        <v>2024</v>
      </c>
      <c r="C186">
        <v>37.540999999999997</v>
      </c>
      <c r="D186" t="s">
        <v>978</v>
      </c>
    </row>
    <row r="187" spans="1:4" x14ac:dyDescent="0.25">
      <c r="A187" t="s">
        <v>109</v>
      </c>
      <c r="B187">
        <v>2024</v>
      </c>
      <c r="C187">
        <v>494</v>
      </c>
      <c r="D187" t="s">
        <v>982</v>
      </c>
    </row>
    <row r="188" spans="1:4" x14ac:dyDescent="0.25">
      <c r="A188" t="s">
        <v>45</v>
      </c>
      <c r="B188">
        <v>2017</v>
      </c>
      <c r="C188">
        <v>30.11</v>
      </c>
      <c r="D188" t="s">
        <v>980</v>
      </c>
    </row>
    <row r="189" spans="1:4" x14ac:dyDescent="0.25">
      <c r="A189" t="s">
        <v>1852</v>
      </c>
      <c r="B189">
        <v>2023</v>
      </c>
      <c r="C189">
        <v>148.334</v>
      </c>
      <c r="D189" t="s">
        <v>981</v>
      </c>
    </row>
    <row r="190" spans="1:4" x14ac:dyDescent="0.25">
      <c r="A190" t="s">
        <v>11</v>
      </c>
      <c r="B190">
        <v>2024</v>
      </c>
      <c r="C190">
        <v>13.55</v>
      </c>
      <c r="D190" t="s">
        <v>984</v>
      </c>
    </row>
    <row r="191" spans="1:4" x14ac:dyDescent="0.25">
      <c r="A191" t="s">
        <v>196</v>
      </c>
      <c r="B191">
        <v>2024</v>
      </c>
      <c r="C191">
        <v>1.41</v>
      </c>
      <c r="D191" t="s">
        <v>844</v>
      </c>
    </row>
    <row r="192" spans="1:4" x14ac:dyDescent="0.25">
      <c r="A192" t="s">
        <v>135</v>
      </c>
      <c r="B192">
        <v>2024</v>
      </c>
      <c r="C192">
        <v>30.26</v>
      </c>
      <c r="D192" t="s">
        <v>986</v>
      </c>
    </row>
    <row r="193" spans="1:4" x14ac:dyDescent="0.25">
      <c r="A193" t="s">
        <v>211</v>
      </c>
      <c r="B193">
        <v>2024</v>
      </c>
      <c r="C193">
        <v>601.14400000000001</v>
      </c>
      <c r="D193" t="s">
        <v>987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2DDD-1F2E-42DD-917B-B99D8EB80C56}">
  <dimension ref="A1:C193"/>
  <sheetViews>
    <sheetView topLeftCell="A173" workbookViewId="0">
      <selection activeCell="B1" sqref="B1"/>
    </sheetView>
  </sheetViews>
  <sheetFormatPr baseColWidth="10" defaultRowHeight="15" x14ac:dyDescent="0.25"/>
  <cols>
    <col min="1" max="3" width="31.140625" customWidth="1"/>
  </cols>
  <sheetData>
    <row r="1" spans="1:3" x14ac:dyDescent="0.25">
      <c r="A1" t="s">
        <v>0</v>
      </c>
      <c r="B1" t="s">
        <v>988</v>
      </c>
      <c r="C1" t="s">
        <v>989</v>
      </c>
    </row>
    <row r="2" spans="1:3" x14ac:dyDescent="0.25">
      <c r="A2" t="s">
        <v>105</v>
      </c>
      <c r="B2">
        <v>14.39</v>
      </c>
      <c r="C2">
        <v>2023</v>
      </c>
    </row>
    <row r="3" spans="1:3" x14ac:dyDescent="0.25">
      <c r="A3" t="s">
        <v>133</v>
      </c>
      <c r="B3" t="s">
        <v>990</v>
      </c>
      <c r="C3">
        <v>2023</v>
      </c>
    </row>
    <row r="4" spans="1:3" x14ac:dyDescent="0.25">
      <c r="A4" t="s">
        <v>5</v>
      </c>
      <c r="B4">
        <v>3.05</v>
      </c>
      <c r="C4">
        <v>2023</v>
      </c>
    </row>
    <row r="5" spans="1:3" x14ac:dyDescent="0.25">
      <c r="A5" t="s">
        <v>116</v>
      </c>
      <c r="B5">
        <v>14.62</v>
      </c>
      <c r="C5">
        <v>2023</v>
      </c>
    </row>
    <row r="6" spans="1:3" x14ac:dyDescent="0.25">
      <c r="A6" t="s">
        <v>157</v>
      </c>
      <c r="B6" t="s">
        <v>991</v>
      </c>
      <c r="C6">
        <v>2023</v>
      </c>
    </row>
    <row r="7" spans="1:3" x14ac:dyDescent="0.25">
      <c r="A7" t="s">
        <v>138</v>
      </c>
      <c r="B7">
        <v>11.81</v>
      </c>
      <c r="C7">
        <v>2023</v>
      </c>
    </row>
    <row r="8" spans="1:3" x14ac:dyDescent="0.25">
      <c r="A8" t="s">
        <v>152</v>
      </c>
      <c r="B8">
        <v>6.18</v>
      </c>
      <c r="C8">
        <v>2023</v>
      </c>
    </row>
    <row r="9" spans="1:3" x14ac:dyDescent="0.25">
      <c r="A9" t="s">
        <v>207</v>
      </c>
      <c r="B9" t="s">
        <v>992</v>
      </c>
      <c r="C9">
        <v>2023</v>
      </c>
    </row>
    <row r="10" spans="1:3" x14ac:dyDescent="0.25">
      <c r="A10" t="s">
        <v>185</v>
      </c>
      <c r="B10">
        <v>4.4000000000000004</v>
      </c>
      <c r="C10">
        <v>2025</v>
      </c>
    </row>
    <row r="11" spans="1:3" x14ac:dyDescent="0.25">
      <c r="A11" t="s">
        <v>56</v>
      </c>
      <c r="B11">
        <v>3.67</v>
      </c>
      <c r="C11">
        <v>2023</v>
      </c>
    </row>
    <row r="12" spans="1:3" x14ac:dyDescent="0.25">
      <c r="A12" t="s">
        <v>15</v>
      </c>
      <c r="B12">
        <v>5.24</v>
      </c>
      <c r="C12">
        <v>2023</v>
      </c>
    </row>
    <row r="13" spans="1:3" x14ac:dyDescent="0.25">
      <c r="A13" t="s">
        <v>40</v>
      </c>
      <c r="B13">
        <v>5.64</v>
      </c>
      <c r="C13">
        <v>2023</v>
      </c>
    </row>
    <row r="14" spans="1:3" x14ac:dyDescent="0.25">
      <c r="A14" t="s">
        <v>993</v>
      </c>
      <c r="B14">
        <v>1.1599999999999999</v>
      </c>
      <c r="C14">
        <v>2023</v>
      </c>
    </row>
    <row r="15" spans="1:3" x14ac:dyDescent="0.25">
      <c r="A15" t="s">
        <v>123</v>
      </c>
      <c r="B15">
        <v>5.0599999999999996</v>
      </c>
      <c r="C15">
        <v>2023</v>
      </c>
    </row>
    <row r="16" spans="1:3" x14ac:dyDescent="0.25">
      <c r="A16" t="s">
        <v>92</v>
      </c>
      <c r="B16" t="s">
        <v>994</v>
      </c>
      <c r="C16">
        <v>2023</v>
      </c>
    </row>
    <row r="17" spans="1:3" x14ac:dyDescent="0.25">
      <c r="A17" t="s">
        <v>24</v>
      </c>
      <c r="B17">
        <v>5.51</v>
      </c>
      <c r="C17">
        <v>2023</v>
      </c>
    </row>
    <row r="18" spans="1:3" x14ac:dyDescent="0.25">
      <c r="A18" t="s">
        <v>93</v>
      </c>
      <c r="B18">
        <v>8.26</v>
      </c>
      <c r="C18">
        <v>2023</v>
      </c>
    </row>
    <row r="19" spans="1:3" x14ac:dyDescent="0.25">
      <c r="A19" t="s">
        <v>995</v>
      </c>
      <c r="B19" t="s">
        <v>996</v>
      </c>
      <c r="C19">
        <v>2023</v>
      </c>
    </row>
    <row r="20" spans="1:3" x14ac:dyDescent="0.25">
      <c r="A20" t="s">
        <v>68</v>
      </c>
      <c r="B20" t="s">
        <v>997</v>
      </c>
      <c r="C20">
        <v>2023</v>
      </c>
    </row>
    <row r="21" spans="1:3" x14ac:dyDescent="0.25">
      <c r="A21" t="s">
        <v>34</v>
      </c>
      <c r="B21" t="s">
        <v>998</v>
      </c>
      <c r="C21">
        <v>2023</v>
      </c>
    </row>
    <row r="22" spans="1:3" x14ac:dyDescent="0.25">
      <c r="A22" t="s">
        <v>999</v>
      </c>
      <c r="B22" t="s">
        <v>1000</v>
      </c>
      <c r="C22">
        <v>2023</v>
      </c>
    </row>
    <row r="23" spans="1:3" x14ac:dyDescent="0.25">
      <c r="A23" t="s">
        <v>32</v>
      </c>
      <c r="B23">
        <v>3.08</v>
      </c>
      <c r="C23">
        <v>2023</v>
      </c>
    </row>
    <row r="24" spans="1:3" x14ac:dyDescent="0.25">
      <c r="A24" t="s">
        <v>63</v>
      </c>
      <c r="B24">
        <v>10.42</v>
      </c>
      <c r="C24">
        <v>2023</v>
      </c>
    </row>
    <row r="25" spans="1:3" x14ac:dyDescent="0.25">
      <c r="A25" t="s">
        <v>22</v>
      </c>
      <c r="B25" t="s">
        <v>1001</v>
      </c>
      <c r="C25">
        <v>2023</v>
      </c>
    </row>
    <row r="26" spans="1:3" x14ac:dyDescent="0.25">
      <c r="A26" t="s">
        <v>74</v>
      </c>
      <c r="B26" t="s">
        <v>994</v>
      </c>
      <c r="C26">
        <v>2023</v>
      </c>
    </row>
    <row r="27" spans="1:3" x14ac:dyDescent="0.25">
      <c r="A27" t="s">
        <v>1002</v>
      </c>
      <c r="B27">
        <v>5.27</v>
      </c>
      <c r="C27">
        <v>2023</v>
      </c>
    </row>
    <row r="28" spans="1:3" x14ac:dyDescent="0.25">
      <c r="A28" t="s">
        <v>113</v>
      </c>
      <c r="B28">
        <v>4.3</v>
      </c>
      <c r="C28">
        <v>2023</v>
      </c>
    </row>
    <row r="29" spans="1:3" x14ac:dyDescent="0.25">
      <c r="A29" t="s">
        <v>172</v>
      </c>
      <c r="B29">
        <v>5.29</v>
      </c>
      <c r="C29">
        <v>2023</v>
      </c>
    </row>
    <row r="30" spans="1:3" x14ac:dyDescent="0.25">
      <c r="A30" t="s">
        <v>140</v>
      </c>
      <c r="B30" t="s">
        <v>1003</v>
      </c>
      <c r="C30">
        <v>2023</v>
      </c>
    </row>
    <row r="31" spans="1:3" x14ac:dyDescent="0.25">
      <c r="A31" t="s">
        <v>206</v>
      </c>
      <c r="B31" t="s">
        <v>1004</v>
      </c>
      <c r="C31">
        <v>2023</v>
      </c>
    </row>
    <row r="32" spans="1:3" x14ac:dyDescent="0.25">
      <c r="A32" t="s">
        <v>184</v>
      </c>
      <c r="B32" t="s">
        <v>1005</v>
      </c>
      <c r="C32">
        <v>2023</v>
      </c>
    </row>
    <row r="33" spans="1:3" x14ac:dyDescent="0.25">
      <c r="A33" t="s">
        <v>173</v>
      </c>
      <c r="B33" t="s">
        <v>1006</v>
      </c>
      <c r="C33">
        <v>2023</v>
      </c>
    </row>
    <row r="34" spans="1:3" x14ac:dyDescent="0.25">
      <c r="A34" t="s">
        <v>111</v>
      </c>
      <c r="B34" t="s">
        <v>1007</v>
      </c>
      <c r="C34">
        <v>2023</v>
      </c>
    </row>
    <row r="35" spans="1:3" x14ac:dyDescent="0.25">
      <c r="A35" t="s">
        <v>48</v>
      </c>
      <c r="B35">
        <v>5.37</v>
      </c>
      <c r="C35">
        <v>2023</v>
      </c>
    </row>
    <row r="36" spans="1:3" x14ac:dyDescent="0.25">
      <c r="A36" t="s">
        <v>186</v>
      </c>
      <c r="B36">
        <v>1.08</v>
      </c>
      <c r="C36">
        <v>2023</v>
      </c>
    </row>
    <row r="37" spans="1:3" x14ac:dyDescent="0.25">
      <c r="A37" t="s">
        <v>1008</v>
      </c>
      <c r="B37" t="s">
        <v>1009</v>
      </c>
      <c r="C37">
        <v>2023</v>
      </c>
    </row>
    <row r="38" spans="1:3" x14ac:dyDescent="0.25">
      <c r="A38" t="s">
        <v>75</v>
      </c>
      <c r="B38">
        <v>9.0399999999999991</v>
      </c>
      <c r="C38">
        <v>2023</v>
      </c>
    </row>
    <row r="39" spans="1:3" x14ac:dyDescent="0.25">
      <c r="A39" t="s">
        <v>170</v>
      </c>
      <c r="B39">
        <v>4.67</v>
      </c>
      <c r="C39">
        <v>2023</v>
      </c>
    </row>
    <row r="40" spans="1:3" x14ac:dyDescent="0.25">
      <c r="A40" t="s">
        <v>136</v>
      </c>
      <c r="B40" t="s">
        <v>1010</v>
      </c>
      <c r="C40">
        <v>2023</v>
      </c>
    </row>
    <row r="41" spans="1:3" x14ac:dyDescent="0.25">
      <c r="A41" t="s">
        <v>87</v>
      </c>
      <c r="B41" t="s">
        <v>1011</v>
      </c>
      <c r="C41">
        <v>2023</v>
      </c>
    </row>
    <row r="42" spans="1:3" x14ac:dyDescent="0.25">
      <c r="A42" t="s">
        <v>137</v>
      </c>
      <c r="B42" t="s">
        <v>1012</v>
      </c>
      <c r="C42">
        <v>2023</v>
      </c>
    </row>
    <row r="43" spans="1:3" x14ac:dyDescent="0.25">
      <c r="A43" t="s">
        <v>110</v>
      </c>
      <c r="B43">
        <v>3</v>
      </c>
      <c r="C43">
        <v>2023</v>
      </c>
    </row>
    <row r="44" spans="1:3" x14ac:dyDescent="0.25">
      <c r="A44" t="s">
        <v>26</v>
      </c>
      <c r="B44">
        <v>2.64</v>
      </c>
      <c r="C44">
        <v>2023</v>
      </c>
    </row>
    <row r="45" spans="1:3" x14ac:dyDescent="0.25">
      <c r="A45" t="s">
        <v>200</v>
      </c>
      <c r="B45">
        <v>2.4</v>
      </c>
      <c r="C45">
        <v>2023</v>
      </c>
    </row>
    <row r="46" spans="1:3" x14ac:dyDescent="0.25">
      <c r="A46" t="s">
        <v>160</v>
      </c>
      <c r="B46">
        <v>8.3000000000000007</v>
      </c>
      <c r="C46">
        <v>2023</v>
      </c>
    </row>
    <row r="47" spans="1:3" x14ac:dyDescent="0.25">
      <c r="A47" t="s">
        <v>117</v>
      </c>
      <c r="B47">
        <v>6.06</v>
      </c>
      <c r="C47">
        <v>2023</v>
      </c>
    </row>
    <row r="48" spans="1:3" x14ac:dyDescent="0.25">
      <c r="A48" t="s">
        <v>54</v>
      </c>
      <c r="B48">
        <v>1.1599999999999999</v>
      </c>
      <c r="C48">
        <v>2023</v>
      </c>
    </row>
    <row r="49" spans="1:3" x14ac:dyDescent="0.25">
      <c r="A49" t="s">
        <v>102</v>
      </c>
      <c r="B49">
        <v>5.14</v>
      </c>
      <c r="C49">
        <v>2023</v>
      </c>
    </row>
    <row r="50" spans="1:3" x14ac:dyDescent="0.25">
      <c r="A50" t="s">
        <v>134</v>
      </c>
      <c r="B50">
        <v>3.37</v>
      </c>
      <c r="C50">
        <v>2023</v>
      </c>
    </row>
    <row r="51" spans="1:3" x14ac:dyDescent="0.25">
      <c r="A51" t="s">
        <v>154</v>
      </c>
      <c r="B51">
        <v>7.31</v>
      </c>
      <c r="C51">
        <v>2023</v>
      </c>
    </row>
    <row r="52" spans="1:3" x14ac:dyDescent="0.25">
      <c r="A52" t="s">
        <v>131</v>
      </c>
      <c r="B52" t="s">
        <v>1013</v>
      </c>
      <c r="C52">
        <v>2023</v>
      </c>
    </row>
    <row r="53" spans="1:3" x14ac:dyDescent="0.25">
      <c r="A53" t="s">
        <v>190</v>
      </c>
      <c r="B53">
        <v>2.71</v>
      </c>
      <c r="C53">
        <v>2023</v>
      </c>
    </row>
    <row r="54" spans="1:3" x14ac:dyDescent="0.25">
      <c r="A54" t="s">
        <v>98</v>
      </c>
      <c r="B54" t="s">
        <v>1014</v>
      </c>
      <c r="C54">
        <v>2023</v>
      </c>
    </row>
    <row r="55" spans="1:3" x14ac:dyDescent="0.25">
      <c r="A55" t="s">
        <v>20</v>
      </c>
      <c r="B55" t="s">
        <v>1015</v>
      </c>
      <c r="C55">
        <v>2023</v>
      </c>
    </row>
    <row r="56" spans="1:3" x14ac:dyDescent="0.25">
      <c r="A56" t="s">
        <v>27</v>
      </c>
      <c r="B56">
        <v>3.63</v>
      </c>
      <c r="C56">
        <v>2023</v>
      </c>
    </row>
    <row r="57" spans="1:3" x14ac:dyDescent="0.25">
      <c r="A57" t="s">
        <v>95</v>
      </c>
      <c r="B57">
        <v>12.14</v>
      </c>
      <c r="C57">
        <v>2023</v>
      </c>
    </row>
    <row r="58" spans="1:3" x14ac:dyDescent="0.25">
      <c r="A58" t="s">
        <v>69</v>
      </c>
      <c r="B58">
        <v>3.63</v>
      </c>
      <c r="C58">
        <v>2023</v>
      </c>
    </row>
    <row r="59" spans="1:3" x14ac:dyDescent="0.25">
      <c r="A59" t="s">
        <v>13</v>
      </c>
      <c r="B59">
        <v>6.35</v>
      </c>
      <c r="C59">
        <v>2023</v>
      </c>
    </row>
    <row r="60" spans="1:3" x14ac:dyDescent="0.25">
      <c r="A60" t="s">
        <v>1016</v>
      </c>
      <c r="B60" t="s">
        <v>1017</v>
      </c>
      <c r="C60">
        <v>2023</v>
      </c>
    </row>
    <row r="61" spans="1:3" x14ac:dyDescent="0.25">
      <c r="A61" t="s">
        <v>218</v>
      </c>
      <c r="B61" t="s">
        <v>1018</v>
      </c>
      <c r="C61">
        <v>2023</v>
      </c>
    </row>
    <row r="62" spans="1:3" x14ac:dyDescent="0.25">
      <c r="A62" t="s">
        <v>155</v>
      </c>
      <c r="B62">
        <v>2.23</v>
      </c>
      <c r="C62">
        <v>2023</v>
      </c>
    </row>
    <row r="63" spans="1:3" x14ac:dyDescent="0.25">
      <c r="A63" t="s">
        <v>3</v>
      </c>
      <c r="B63">
        <v>7.16</v>
      </c>
      <c r="C63">
        <v>2023</v>
      </c>
    </row>
    <row r="64" spans="1:3" x14ac:dyDescent="0.25">
      <c r="A64" t="s">
        <v>118</v>
      </c>
      <c r="B64">
        <v>4.33</v>
      </c>
      <c r="C64">
        <v>2023</v>
      </c>
    </row>
    <row r="65" spans="1:3" x14ac:dyDescent="0.25">
      <c r="A65" t="s">
        <v>23</v>
      </c>
      <c r="B65">
        <v>7.32</v>
      </c>
      <c r="C65">
        <v>2023</v>
      </c>
    </row>
    <row r="66" spans="1:3" x14ac:dyDescent="0.25">
      <c r="A66" t="s">
        <v>84</v>
      </c>
      <c r="B66" t="s">
        <v>1019</v>
      </c>
      <c r="C66">
        <v>2023</v>
      </c>
    </row>
    <row r="67" spans="1:3" x14ac:dyDescent="0.25">
      <c r="A67" t="s">
        <v>194</v>
      </c>
      <c r="B67">
        <v>6.48</v>
      </c>
      <c r="C67">
        <v>2023</v>
      </c>
    </row>
    <row r="68" spans="1:3" x14ac:dyDescent="0.25">
      <c r="A68" t="s">
        <v>209</v>
      </c>
      <c r="B68">
        <v>11.62</v>
      </c>
      <c r="C68">
        <v>2023</v>
      </c>
    </row>
    <row r="69" spans="1:3" x14ac:dyDescent="0.25">
      <c r="A69" t="s">
        <v>193</v>
      </c>
      <c r="B69">
        <v>3.08</v>
      </c>
      <c r="C69">
        <v>2023</v>
      </c>
    </row>
    <row r="70" spans="1:3" x14ac:dyDescent="0.25">
      <c r="A70" t="s">
        <v>156</v>
      </c>
      <c r="B70" t="s">
        <v>1020</v>
      </c>
      <c r="C70">
        <v>2024</v>
      </c>
    </row>
    <row r="71" spans="1:3" x14ac:dyDescent="0.25">
      <c r="A71" t="s">
        <v>65</v>
      </c>
      <c r="B71">
        <v>11</v>
      </c>
      <c r="C71">
        <v>2023</v>
      </c>
    </row>
    <row r="72" spans="1:3" x14ac:dyDescent="0.25">
      <c r="A72" t="s">
        <v>21</v>
      </c>
      <c r="B72" t="s">
        <v>1021</v>
      </c>
      <c r="C72">
        <v>2021</v>
      </c>
    </row>
    <row r="73" spans="1:3" x14ac:dyDescent="0.25">
      <c r="A73" t="s">
        <v>179</v>
      </c>
      <c r="B73">
        <v>5.42</v>
      </c>
      <c r="C73">
        <v>2023</v>
      </c>
    </row>
    <row r="74" spans="1:3" x14ac:dyDescent="0.25">
      <c r="A74" t="s">
        <v>144</v>
      </c>
      <c r="B74">
        <v>2.71</v>
      </c>
      <c r="C74">
        <v>2023</v>
      </c>
    </row>
    <row r="75" spans="1:3" x14ac:dyDescent="0.25">
      <c r="A75" t="s">
        <v>1022</v>
      </c>
      <c r="B75" t="s">
        <v>1023</v>
      </c>
      <c r="C75">
        <v>2023</v>
      </c>
    </row>
    <row r="76" spans="1:3" x14ac:dyDescent="0.25">
      <c r="A76" t="s">
        <v>201</v>
      </c>
      <c r="B76">
        <v>5.3</v>
      </c>
      <c r="C76">
        <v>2023</v>
      </c>
    </row>
    <row r="77" spans="1:3" x14ac:dyDescent="0.25">
      <c r="A77" t="s">
        <v>198</v>
      </c>
      <c r="B77" t="s">
        <v>1024</v>
      </c>
      <c r="C77">
        <v>2023</v>
      </c>
    </row>
    <row r="78" spans="1:3" x14ac:dyDescent="0.25">
      <c r="A78" t="s">
        <v>1025</v>
      </c>
      <c r="B78">
        <v>3.18</v>
      </c>
      <c r="C78">
        <v>2023</v>
      </c>
    </row>
    <row r="79" spans="1:3" x14ac:dyDescent="0.25">
      <c r="A79" t="s">
        <v>62</v>
      </c>
      <c r="B79">
        <v>12.43</v>
      </c>
      <c r="C79">
        <v>2023</v>
      </c>
    </row>
    <row r="80" spans="1:3" x14ac:dyDescent="0.25">
      <c r="A80" t="s">
        <v>91</v>
      </c>
      <c r="B80">
        <v>14.62</v>
      </c>
      <c r="C80">
        <v>2023</v>
      </c>
    </row>
    <row r="81" spans="1:3" x14ac:dyDescent="0.25">
      <c r="A81" t="s">
        <v>132</v>
      </c>
      <c r="B81">
        <v>6.06</v>
      </c>
      <c r="C81">
        <v>2023</v>
      </c>
    </row>
    <row r="82" spans="1:3" x14ac:dyDescent="0.25">
      <c r="A82" t="s">
        <v>124</v>
      </c>
      <c r="B82" t="s">
        <v>1026</v>
      </c>
      <c r="C82">
        <v>2023</v>
      </c>
    </row>
    <row r="83" spans="1:3" x14ac:dyDescent="0.25">
      <c r="A83" t="s">
        <v>6</v>
      </c>
      <c r="B83">
        <v>4.13</v>
      </c>
      <c r="C83">
        <v>2023</v>
      </c>
    </row>
    <row r="84" spans="1:3" x14ac:dyDescent="0.25">
      <c r="A84" t="s">
        <v>212</v>
      </c>
      <c r="B84">
        <v>4.17</v>
      </c>
      <c r="C84">
        <v>2023</v>
      </c>
    </row>
    <row r="85" spans="1:3" x14ac:dyDescent="0.25">
      <c r="A85" t="s">
        <v>180</v>
      </c>
      <c r="B85">
        <v>3.42</v>
      </c>
      <c r="C85">
        <v>2023</v>
      </c>
    </row>
    <row r="86" spans="1:3" x14ac:dyDescent="0.25">
      <c r="A86" t="s">
        <v>44</v>
      </c>
      <c r="B86">
        <v>9.1</v>
      </c>
      <c r="C86">
        <v>2023</v>
      </c>
    </row>
    <row r="87" spans="1:3" x14ac:dyDescent="0.25">
      <c r="A87" t="s">
        <v>1027</v>
      </c>
      <c r="B87" t="s">
        <v>1028</v>
      </c>
      <c r="C87">
        <v>2023</v>
      </c>
    </row>
    <row r="88" spans="1:3" x14ac:dyDescent="0.25">
      <c r="A88" t="s">
        <v>58</v>
      </c>
      <c r="B88">
        <v>4.34</v>
      </c>
      <c r="C88">
        <v>2023</v>
      </c>
    </row>
    <row r="89" spans="1:3" x14ac:dyDescent="0.25">
      <c r="A89" t="s">
        <v>36</v>
      </c>
      <c r="B89" t="s">
        <v>1029</v>
      </c>
      <c r="C89">
        <v>2023</v>
      </c>
    </row>
    <row r="90" spans="1:3" x14ac:dyDescent="0.25">
      <c r="A90" t="s">
        <v>88</v>
      </c>
      <c r="B90" t="s">
        <v>1030</v>
      </c>
      <c r="C90">
        <v>2023</v>
      </c>
    </row>
    <row r="91" spans="1:3" x14ac:dyDescent="0.25">
      <c r="A91" t="s">
        <v>1031</v>
      </c>
      <c r="B91">
        <v>12.09</v>
      </c>
      <c r="C91">
        <v>2023</v>
      </c>
    </row>
    <row r="92" spans="1:3" x14ac:dyDescent="0.25">
      <c r="A92" t="s">
        <v>103</v>
      </c>
      <c r="B92">
        <v>3.39</v>
      </c>
      <c r="C92">
        <v>2023</v>
      </c>
    </row>
    <row r="93" spans="1:3" x14ac:dyDescent="0.25">
      <c r="A93" t="s">
        <v>10</v>
      </c>
      <c r="B93">
        <v>7.62</v>
      </c>
      <c r="C93">
        <v>2023</v>
      </c>
    </row>
    <row r="94" spans="1:3" x14ac:dyDescent="0.25">
      <c r="A94" t="s">
        <v>2</v>
      </c>
      <c r="B94">
        <v>4.42</v>
      </c>
      <c r="C94">
        <v>2023</v>
      </c>
    </row>
    <row r="95" spans="1:3" x14ac:dyDescent="0.25">
      <c r="A95" t="s">
        <v>31</v>
      </c>
      <c r="B95" t="s">
        <v>1032</v>
      </c>
      <c r="C95">
        <v>2023</v>
      </c>
    </row>
    <row r="96" spans="1:3" x14ac:dyDescent="0.25">
      <c r="A96" t="s">
        <v>1033</v>
      </c>
      <c r="B96" t="s">
        <v>1023</v>
      </c>
      <c r="C96">
        <v>2023</v>
      </c>
    </row>
    <row r="97" spans="1:3" x14ac:dyDescent="0.25">
      <c r="A97" t="s">
        <v>89</v>
      </c>
      <c r="B97" t="s">
        <v>1034</v>
      </c>
      <c r="C97">
        <v>2023</v>
      </c>
    </row>
    <row r="98" spans="1:3" x14ac:dyDescent="0.25">
      <c r="A98" t="s">
        <v>1035</v>
      </c>
      <c r="B98" t="s">
        <v>1036</v>
      </c>
      <c r="C98">
        <v>2023</v>
      </c>
    </row>
    <row r="99" spans="1:3" x14ac:dyDescent="0.25">
      <c r="A99" t="s">
        <v>165</v>
      </c>
      <c r="B99" t="s">
        <v>1037</v>
      </c>
      <c r="C99">
        <v>2023</v>
      </c>
    </row>
    <row r="100" spans="1:3" x14ac:dyDescent="0.25">
      <c r="A100" t="s">
        <v>57</v>
      </c>
      <c r="B100">
        <v>4.04</v>
      </c>
      <c r="C100">
        <v>2023</v>
      </c>
    </row>
    <row r="101" spans="1:3" x14ac:dyDescent="0.25">
      <c r="A101" t="s">
        <v>122</v>
      </c>
      <c r="B101">
        <v>2.08</v>
      </c>
      <c r="C101">
        <v>2023</v>
      </c>
    </row>
    <row r="102" spans="1:3" x14ac:dyDescent="0.25">
      <c r="A102" t="s">
        <v>163</v>
      </c>
      <c r="B102">
        <v>1.18</v>
      </c>
      <c r="C102">
        <v>2023</v>
      </c>
    </row>
    <row r="103" spans="1:3" x14ac:dyDescent="0.25">
      <c r="A103" t="s">
        <v>1038</v>
      </c>
      <c r="B103">
        <v>9.1999999999999993</v>
      </c>
      <c r="C103">
        <v>2023</v>
      </c>
    </row>
    <row r="104" spans="1:3" x14ac:dyDescent="0.25">
      <c r="A104" t="s">
        <v>1039</v>
      </c>
      <c r="B104">
        <v>16.46</v>
      </c>
      <c r="C104">
        <v>2023</v>
      </c>
    </row>
    <row r="105" spans="1:3" x14ac:dyDescent="0.25">
      <c r="A105" t="s">
        <v>71</v>
      </c>
      <c r="B105">
        <v>6.53</v>
      </c>
      <c r="C105">
        <v>2023</v>
      </c>
    </row>
    <row r="106" spans="1:3" x14ac:dyDescent="0.25">
      <c r="A106" t="s">
        <v>142</v>
      </c>
      <c r="B106" t="s">
        <v>1040</v>
      </c>
      <c r="C106">
        <v>2023</v>
      </c>
    </row>
    <row r="107" spans="1:3" x14ac:dyDescent="0.25">
      <c r="A107" t="s">
        <v>181</v>
      </c>
      <c r="B107" t="s">
        <v>1041</v>
      </c>
      <c r="C107">
        <v>2023</v>
      </c>
    </row>
    <row r="108" spans="1:3" x14ac:dyDescent="0.25">
      <c r="A108" t="s">
        <v>59</v>
      </c>
      <c r="B108" t="s">
        <v>1042</v>
      </c>
      <c r="C108">
        <v>2023</v>
      </c>
    </row>
    <row r="109" spans="1:3" x14ac:dyDescent="0.25">
      <c r="A109" t="s">
        <v>101</v>
      </c>
      <c r="B109" t="s">
        <v>1043</v>
      </c>
      <c r="C109">
        <v>2023</v>
      </c>
    </row>
    <row r="110" spans="1:3" x14ac:dyDescent="0.25">
      <c r="A110" t="s">
        <v>16</v>
      </c>
      <c r="B110">
        <v>5.19</v>
      </c>
      <c r="C110">
        <v>2023</v>
      </c>
    </row>
    <row r="111" spans="1:3" x14ac:dyDescent="0.25">
      <c r="A111" t="s">
        <v>162</v>
      </c>
      <c r="B111">
        <v>2.25</v>
      </c>
      <c r="C111">
        <v>2023</v>
      </c>
    </row>
    <row r="112" spans="1:3" x14ac:dyDescent="0.25">
      <c r="A112" t="s">
        <v>125</v>
      </c>
      <c r="B112">
        <v>13.08</v>
      </c>
      <c r="C112">
        <v>2023</v>
      </c>
    </row>
    <row r="113" spans="1:3" x14ac:dyDescent="0.25">
      <c r="A113" t="s">
        <v>100</v>
      </c>
      <c r="B113">
        <v>3.06</v>
      </c>
      <c r="C113">
        <v>2023</v>
      </c>
    </row>
    <row r="114" spans="1:3" x14ac:dyDescent="0.25">
      <c r="A114" t="s">
        <v>182</v>
      </c>
      <c r="B114">
        <v>3.86</v>
      </c>
      <c r="C114">
        <v>2023</v>
      </c>
    </row>
    <row r="115" spans="1:3" x14ac:dyDescent="0.25">
      <c r="A115" t="s">
        <v>1044</v>
      </c>
      <c r="B115">
        <v>5.04</v>
      </c>
      <c r="C115">
        <v>2023</v>
      </c>
    </row>
    <row r="116" spans="1:3" x14ac:dyDescent="0.25">
      <c r="A116" t="s">
        <v>176</v>
      </c>
      <c r="B116">
        <v>4.13</v>
      </c>
      <c r="C116">
        <v>2023</v>
      </c>
    </row>
    <row r="117" spans="1:3" x14ac:dyDescent="0.25">
      <c r="A117" t="s">
        <v>1045</v>
      </c>
      <c r="B117">
        <v>3.01</v>
      </c>
      <c r="C117">
        <v>2023</v>
      </c>
    </row>
    <row r="118" spans="1:3" x14ac:dyDescent="0.25">
      <c r="A118" t="s">
        <v>141</v>
      </c>
      <c r="B118">
        <v>3.13</v>
      </c>
      <c r="C118">
        <v>2023</v>
      </c>
    </row>
    <row r="119" spans="1:3" x14ac:dyDescent="0.25">
      <c r="A119" t="s">
        <v>167</v>
      </c>
      <c r="B119">
        <v>9.11</v>
      </c>
      <c r="C119">
        <v>2023</v>
      </c>
    </row>
    <row r="120" spans="1:3" x14ac:dyDescent="0.25">
      <c r="A120" t="s">
        <v>114</v>
      </c>
      <c r="B120">
        <v>6.06</v>
      </c>
      <c r="C120">
        <v>2023</v>
      </c>
    </row>
    <row r="121" spans="1:3" x14ac:dyDescent="0.25">
      <c r="A121" t="s">
        <v>148</v>
      </c>
      <c r="B121" t="s">
        <v>1046</v>
      </c>
      <c r="C121">
        <v>2023</v>
      </c>
    </row>
    <row r="122" spans="1:3" x14ac:dyDescent="0.25">
      <c r="A122" t="s">
        <v>12</v>
      </c>
      <c r="B122">
        <v>2.81</v>
      </c>
      <c r="C122">
        <v>2023</v>
      </c>
    </row>
    <row r="123" spans="1:3" x14ac:dyDescent="0.25">
      <c r="A123" t="s">
        <v>79</v>
      </c>
      <c r="B123">
        <v>1.62</v>
      </c>
      <c r="C123">
        <v>2023</v>
      </c>
    </row>
    <row r="124" spans="1:3" x14ac:dyDescent="0.25">
      <c r="A124" t="s">
        <v>203</v>
      </c>
      <c r="B124">
        <v>6.13</v>
      </c>
      <c r="C124">
        <v>2023</v>
      </c>
    </row>
    <row r="125" spans="1:3" x14ac:dyDescent="0.25">
      <c r="A125" t="s">
        <v>90</v>
      </c>
      <c r="B125">
        <v>15.25</v>
      </c>
      <c r="C125">
        <v>2023</v>
      </c>
    </row>
    <row r="126" spans="1:3" x14ac:dyDescent="0.25">
      <c r="A126" t="s">
        <v>9</v>
      </c>
      <c r="B126" t="s">
        <v>1047</v>
      </c>
      <c r="C126">
        <v>2023</v>
      </c>
    </row>
    <row r="127" spans="1:3" x14ac:dyDescent="0.25">
      <c r="A127" t="s">
        <v>80</v>
      </c>
      <c r="B127">
        <v>19.420000000000002</v>
      </c>
      <c r="C127">
        <v>2023</v>
      </c>
    </row>
    <row r="128" spans="1:3" x14ac:dyDescent="0.25">
      <c r="A128" t="s">
        <v>161</v>
      </c>
      <c r="B128" t="s">
        <v>1048</v>
      </c>
      <c r="C128">
        <v>2023</v>
      </c>
    </row>
    <row r="129" spans="1:3" x14ac:dyDescent="0.25">
      <c r="A129" t="s">
        <v>169</v>
      </c>
      <c r="B129" t="s">
        <v>1049</v>
      </c>
      <c r="C129">
        <v>2023</v>
      </c>
    </row>
    <row r="130" spans="1:3" x14ac:dyDescent="0.25">
      <c r="A130" t="s">
        <v>204</v>
      </c>
      <c r="B130" t="s">
        <v>1050</v>
      </c>
      <c r="C130">
        <v>2023</v>
      </c>
    </row>
    <row r="131" spans="1:3" x14ac:dyDescent="0.25">
      <c r="A131" t="s">
        <v>143</v>
      </c>
      <c r="B131">
        <v>3.07</v>
      </c>
      <c r="C131">
        <v>2023</v>
      </c>
    </row>
    <row r="132" spans="1:3" x14ac:dyDescent="0.25">
      <c r="A132" t="s">
        <v>29</v>
      </c>
      <c r="B132" t="s">
        <v>1051</v>
      </c>
      <c r="C132">
        <v>2023</v>
      </c>
    </row>
    <row r="133" spans="1:3" x14ac:dyDescent="0.25">
      <c r="A133" t="s">
        <v>8</v>
      </c>
      <c r="B133">
        <v>11.22</v>
      </c>
      <c r="C133">
        <v>2023</v>
      </c>
    </row>
    <row r="134" spans="1:3" x14ac:dyDescent="0.25">
      <c r="A134" t="s">
        <v>4</v>
      </c>
      <c r="B134" t="s">
        <v>1052</v>
      </c>
      <c r="C134">
        <v>2023</v>
      </c>
    </row>
    <row r="135" spans="1:3" x14ac:dyDescent="0.25">
      <c r="A135" t="s">
        <v>77</v>
      </c>
      <c r="B135">
        <v>1.46</v>
      </c>
      <c r="C135">
        <v>2023</v>
      </c>
    </row>
    <row r="136" spans="1:3" x14ac:dyDescent="0.25">
      <c r="A136" t="s">
        <v>52</v>
      </c>
      <c r="B136" t="s">
        <v>1029</v>
      </c>
      <c r="C136">
        <v>2023</v>
      </c>
    </row>
    <row r="137" spans="1:3" x14ac:dyDescent="0.25">
      <c r="A137" t="s">
        <v>112</v>
      </c>
      <c r="B137" t="s">
        <v>1053</v>
      </c>
      <c r="C137">
        <v>2023</v>
      </c>
    </row>
    <row r="138" spans="1:3" x14ac:dyDescent="0.25">
      <c r="A138" t="s">
        <v>150</v>
      </c>
      <c r="B138" t="s">
        <v>1054</v>
      </c>
      <c r="C138">
        <v>2023</v>
      </c>
    </row>
    <row r="139" spans="1:3" x14ac:dyDescent="0.25">
      <c r="A139" t="s">
        <v>188</v>
      </c>
      <c r="B139" t="s">
        <v>1055</v>
      </c>
      <c r="C139">
        <v>2023</v>
      </c>
    </row>
    <row r="140" spans="1:3" x14ac:dyDescent="0.25">
      <c r="A140" t="s">
        <v>195</v>
      </c>
      <c r="B140" t="s">
        <v>1056</v>
      </c>
      <c r="C140">
        <v>2023</v>
      </c>
    </row>
    <row r="141" spans="1:3" x14ac:dyDescent="0.25">
      <c r="A141" t="s">
        <v>121</v>
      </c>
      <c r="B141">
        <v>4.82</v>
      </c>
      <c r="C141">
        <v>2023</v>
      </c>
    </row>
    <row r="142" spans="1:3" x14ac:dyDescent="0.25">
      <c r="A142" t="s">
        <v>106</v>
      </c>
      <c r="B142" t="s">
        <v>1057</v>
      </c>
      <c r="C142">
        <v>2023</v>
      </c>
    </row>
    <row r="143" spans="1:3" x14ac:dyDescent="0.25">
      <c r="A143" t="s">
        <v>127</v>
      </c>
      <c r="B143" t="s">
        <v>1058</v>
      </c>
      <c r="C143">
        <v>2023</v>
      </c>
    </row>
    <row r="144" spans="1:3" x14ac:dyDescent="0.25">
      <c r="A144" t="s">
        <v>53</v>
      </c>
      <c r="B144">
        <v>6.49</v>
      </c>
      <c r="C144">
        <v>2023</v>
      </c>
    </row>
    <row r="145" spans="1:3" x14ac:dyDescent="0.25">
      <c r="A145" t="s">
        <v>19</v>
      </c>
      <c r="B145" t="s">
        <v>1010</v>
      </c>
      <c r="C145">
        <v>2023</v>
      </c>
    </row>
    <row r="146" spans="1:3" x14ac:dyDescent="0.25">
      <c r="A146" t="s">
        <v>1059</v>
      </c>
      <c r="B146" t="s">
        <v>1060</v>
      </c>
      <c r="C146">
        <v>2023</v>
      </c>
    </row>
    <row r="147" spans="1:3" x14ac:dyDescent="0.25">
      <c r="A147" t="s">
        <v>38</v>
      </c>
      <c r="B147">
        <v>4.0599999999999996</v>
      </c>
      <c r="C147">
        <v>2023</v>
      </c>
    </row>
    <row r="148" spans="1:3" x14ac:dyDescent="0.25">
      <c r="A148" t="s">
        <v>164</v>
      </c>
      <c r="B148">
        <v>6.29</v>
      </c>
      <c r="C148">
        <v>2023</v>
      </c>
    </row>
    <row r="149" spans="1:3" x14ac:dyDescent="0.25">
      <c r="A149" t="s">
        <v>1061</v>
      </c>
      <c r="B149">
        <v>20.05</v>
      </c>
      <c r="C149">
        <v>2023</v>
      </c>
    </row>
    <row r="150" spans="1:3" x14ac:dyDescent="0.25">
      <c r="A150" t="s">
        <v>1062</v>
      </c>
      <c r="B150" t="s">
        <v>1063</v>
      </c>
      <c r="C150">
        <v>2023</v>
      </c>
    </row>
    <row r="151" spans="1:3" x14ac:dyDescent="0.25">
      <c r="A151" t="s">
        <v>70</v>
      </c>
      <c r="B151" t="s">
        <v>1064</v>
      </c>
      <c r="C151">
        <v>2023</v>
      </c>
    </row>
    <row r="152" spans="1:3" x14ac:dyDescent="0.25">
      <c r="A152" t="s">
        <v>205</v>
      </c>
      <c r="B152" t="s">
        <v>1065</v>
      </c>
      <c r="C152">
        <v>2023</v>
      </c>
    </row>
    <row r="153" spans="1:3" x14ac:dyDescent="0.25">
      <c r="A153" t="s">
        <v>17</v>
      </c>
      <c r="B153" t="s">
        <v>1066</v>
      </c>
      <c r="C153">
        <v>2023</v>
      </c>
    </row>
    <row r="154" spans="1:3" x14ac:dyDescent="0.25">
      <c r="A154" t="s">
        <v>25</v>
      </c>
      <c r="B154">
        <v>3.33</v>
      </c>
      <c r="C154">
        <v>2023</v>
      </c>
    </row>
    <row r="155" spans="1:3" x14ac:dyDescent="0.25">
      <c r="A155" t="s">
        <v>147</v>
      </c>
      <c r="B155" t="s">
        <v>1067</v>
      </c>
      <c r="C155">
        <v>2023</v>
      </c>
    </row>
    <row r="156" spans="1:3" x14ac:dyDescent="0.25">
      <c r="A156" t="s">
        <v>120</v>
      </c>
      <c r="B156" t="s">
        <v>1068</v>
      </c>
      <c r="C156">
        <v>2023</v>
      </c>
    </row>
    <row r="157" spans="1:3" x14ac:dyDescent="0.25">
      <c r="A157" t="s">
        <v>47</v>
      </c>
      <c r="B157">
        <v>11.09</v>
      </c>
      <c r="C157">
        <v>2023</v>
      </c>
    </row>
    <row r="158" spans="1:3" x14ac:dyDescent="0.25">
      <c r="A158" t="s">
        <v>67</v>
      </c>
      <c r="B158">
        <v>14.21</v>
      </c>
      <c r="C158">
        <v>2023</v>
      </c>
    </row>
    <row r="159" spans="1:3" x14ac:dyDescent="0.25">
      <c r="A159" t="s">
        <v>214</v>
      </c>
      <c r="B159" t="s">
        <v>1069</v>
      </c>
      <c r="C159">
        <v>2023</v>
      </c>
    </row>
    <row r="160" spans="1:3" x14ac:dyDescent="0.25">
      <c r="A160" t="s">
        <v>64</v>
      </c>
      <c r="B160" t="s">
        <v>1070</v>
      </c>
      <c r="C160">
        <v>2023</v>
      </c>
    </row>
    <row r="161" spans="1:3" x14ac:dyDescent="0.25">
      <c r="A161" t="s">
        <v>153</v>
      </c>
      <c r="B161">
        <v>3.17</v>
      </c>
      <c r="C161">
        <v>2023</v>
      </c>
    </row>
    <row r="162" spans="1:3" x14ac:dyDescent="0.25">
      <c r="A162" t="s">
        <v>175</v>
      </c>
      <c r="B162">
        <v>3.47</v>
      </c>
      <c r="C162">
        <v>2023</v>
      </c>
    </row>
    <row r="163" spans="1:3" x14ac:dyDescent="0.25">
      <c r="A163" t="s">
        <v>33</v>
      </c>
      <c r="B163" t="s">
        <v>1071</v>
      </c>
      <c r="C163">
        <v>2023</v>
      </c>
    </row>
    <row r="164" spans="1:3" x14ac:dyDescent="0.25">
      <c r="A164" t="s">
        <v>107</v>
      </c>
      <c r="B164">
        <v>19.03</v>
      </c>
      <c r="C164">
        <v>2023</v>
      </c>
    </row>
    <row r="165" spans="1:3" x14ac:dyDescent="0.25">
      <c r="A165" t="s">
        <v>174</v>
      </c>
      <c r="B165">
        <v>6.36</v>
      </c>
      <c r="C165">
        <v>2023</v>
      </c>
    </row>
    <row r="166" spans="1:3" x14ac:dyDescent="0.25">
      <c r="A166" t="s">
        <v>30</v>
      </c>
      <c r="B166" t="s">
        <v>1072</v>
      </c>
      <c r="C166">
        <v>2023</v>
      </c>
    </row>
    <row r="167" spans="1:3" x14ac:dyDescent="0.25">
      <c r="A167" t="s">
        <v>119</v>
      </c>
      <c r="B167">
        <v>11.45</v>
      </c>
      <c r="C167">
        <v>2023</v>
      </c>
    </row>
    <row r="168" spans="1:3" x14ac:dyDescent="0.25">
      <c r="A168" t="s">
        <v>171</v>
      </c>
      <c r="B168">
        <v>12.27</v>
      </c>
      <c r="C168">
        <v>2023</v>
      </c>
    </row>
    <row r="169" spans="1:3" x14ac:dyDescent="0.25">
      <c r="A169" t="s">
        <v>46</v>
      </c>
      <c r="B169" t="s">
        <v>1073</v>
      </c>
      <c r="C169">
        <v>2023</v>
      </c>
    </row>
    <row r="170" spans="1:3" x14ac:dyDescent="0.25">
      <c r="A170" t="s">
        <v>35</v>
      </c>
      <c r="B170">
        <v>4.05</v>
      </c>
      <c r="C170">
        <v>2023</v>
      </c>
    </row>
    <row r="171" spans="1:3" x14ac:dyDescent="0.25">
      <c r="A171" t="s">
        <v>43</v>
      </c>
      <c r="B171" t="s">
        <v>1074</v>
      </c>
      <c r="C171">
        <v>2023</v>
      </c>
    </row>
    <row r="172" spans="1:3" x14ac:dyDescent="0.25">
      <c r="A172" t="s">
        <v>78</v>
      </c>
      <c r="B172" t="s">
        <v>1075</v>
      </c>
      <c r="C172">
        <v>2023</v>
      </c>
    </row>
    <row r="173" spans="1:3" x14ac:dyDescent="0.25">
      <c r="A173" t="s">
        <v>217</v>
      </c>
      <c r="B173">
        <v>3.35</v>
      </c>
      <c r="C173">
        <v>2025</v>
      </c>
    </row>
    <row r="174" spans="1:3" x14ac:dyDescent="0.25">
      <c r="A174" t="s">
        <v>191</v>
      </c>
      <c r="B174">
        <v>2.61</v>
      </c>
      <c r="C174">
        <v>2023</v>
      </c>
    </row>
    <row r="175" spans="1:3" x14ac:dyDescent="0.25">
      <c r="A175" t="s">
        <v>216</v>
      </c>
      <c r="B175" t="s">
        <v>1076</v>
      </c>
      <c r="C175">
        <v>2023</v>
      </c>
    </row>
    <row r="176" spans="1:3" x14ac:dyDescent="0.25">
      <c r="A176" t="s">
        <v>158</v>
      </c>
      <c r="B176" t="s">
        <v>1077</v>
      </c>
      <c r="C176">
        <v>2023</v>
      </c>
    </row>
    <row r="177" spans="1:3" x14ac:dyDescent="0.25">
      <c r="A177" t="s">
        <v>192</v>
      </c>
      <c r="B177">
        <v>2.0499999999999998</v>
      </c>
      <c r="C177">
        <v>2023</v>
      </c>
    </row>
    <row r="178" spans="1:3" x14ac:dyDescent="0.25">
      <c r="A178" t="s">
        <v>99</v>
      </c>
      <c r="B178">
        <v>2.2999999999999998</v>
      </c>
      <c r="C178">
        <v>2023</v>
      </c>
    </row>
    <row r="179" spans="1:3" x14ac:dyDescent="0.25">
      <c r="A179" t="s">
        <v>18</v>
      </c>
      <c r="B179">
        <v>4.21</v>
      </c>
      <c r="C179">
        <v>2023</v>
      </c>
    </row>
    <row r="180" spans="1:3" x14ac:dyDescent="0.25">
      <c r="A180" t="s">
        <v>83</v>
      </c>
      <c r="B180">
        <v>15.11</v>
      </c>
      <c r="C180">
        <v>2023</v>
      </c>
    </row>
    <row r="181" spans="1:3" x14ac:dyDescent="0.25">
      <c r="A181" t="s">
        <v>128</v>
      </c>
      <c r="B181">
        <v>4.12</v>
      </c>
      <c r="C181">
        <v>2023</v>
      </c>
    </row>
    <row r="182" spans="1:3" x14ac:dyDescent="0.25">
      <c r="A182" t="s">
        <v>129</v>
      </c>
      <c r="B182">
        <v>9.41</v>
      </c>
      <c r="C182">
        <v>2023</v>
      </c>
    </row>
    <row r="183" spans="1:3" x14ac:dyDescent="0.25">
      <c r="A183" t="s">
        <v>51</v>
      </c>
      <c r="B183">
        <v>12.1</v>
      </c>
      <c r="C183">
        <v>2025</v>
      </c>
    </row>
    <row r="184" spans="1:3" x14ac:dyDescent="0.25">
      <c r="A184" t="s">
        <v>202</v>
      </c>
      <c r="B184">
        <v>2.83</v>
      </c>
      <c r="C184">
        <v>2023</v>
      </c>
    </row>
    <row r="185" spans="1:3" x14ac:dyDescent="0.25">
      <c r="A185" t="s">
        <v>50</v>
      </c>
      <c r="B185">
        <v>8.35</v>
      </c>
      <c r="C185">
        <v>2023</v>
      </c>
    </row>
    <row r="186" spans="1:3" x14ac:dyDescent="0.25">
      <c r="A186" t="s">
        <v>213</v>
      </c>
      <c r="B186">
        <v>4.53</v>
      </c>
      <c r="C186">
        <v>2023</v>
      </c>
    </row>
    <row r="187" spans="1:3" x14ac:dyDescent="0.25">
      <c r="A187" t="s">
        <v>109</v>
      </c>
      <c r="B187">
        <v>5.0999999999999996</v>
      </c>
      <c r="C187">
        <v>2023</v>
      </c>
    </row>
    <row r="188" spans="1:3" x14ac:dyDescent="0.25">
      <c r="A188" t="s">
        <v>45</v>
      </c>
      <c r="B188">
        <v>5.53</v>
      </c>
      <c r="C188">
        <v>2023</v>
      </c>
    </row>
    <row r="189" spans="1:3" x14ac:dyDescent="0.25">
      <c r="A189" t="s">
        <v>215</v>
      </c>
      <c r="B189" t="s">
        <v>1078</v>
      </c>
      <c r="C189">
        <v>2023</v>
      </c>
    </row>
    <row r="190" spans="1:3" x14ac:dyDescent="0.25">
      <c r="A190" t="s">
        <v>1079</v>
      </c>
      <c r="B190" t="s">
        <v>1080</v>
      </c>
      <c r="C190">
        <v>2024</v>
      </c>
    </row>
    <row r="191" spans="1:3" x14ac:dyDescent="0.25">
      <c r="A191" t="s">
        <v>11</v>
      </c>
      <c r="B191">
        <v>17.22</v>
      </c>
      <c r="C191">
        <v>2023</v>
      </c>
    </row>
    <row r="192" spans="1:3" x14ac:dyDescent="0.25">
      <c r="A192" t="s">
        <v>135</v>
      </c>
      <c r="B192" t="s">
        <v>1081</v>
      </c>
      <c r="C192">
        <v>2023</v>
      </c>
    </row>
    <row r="193" spans="1:3" x14ac:dyDescent="0.25">
      <c r="A193" t="s">
        <v>211</v>
      </c>
      <c r="B193" t="s">
        <v>1082</v>
      </c>
      <c r="C193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TODOS-DATOS</vt:lpstr>
      <vt:lpstr>sectores</vt:lpstr>
      <vt:lpstr>tipocambio</vt:lpstr>
      <vt:lpstr>salariominimos</vt:lpstr>
      <vt:lpstr>libertadeconomica</vt:lpstr>
      <vt:lpstr>PIB</vt:lpstr>
      <vt:lpstr>export-import</vt:lpstr>
      <vt:lpstr>recaudaciontributaria</vt:lpstr>
      <vt:lpstr>deudapublica</vt:lpstr>
      <vt:lpstr>tasadesempleo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Sotoj</dc:creator>
  <cp:lastModifiedBy>Kevin Sotoj</cp:lastModifiedBy>
  <dcterms:created xsi:type="dcterms:W3CDTF">2015-06-05T18:19:34Z</dcterms:created>
  <dcterms:modified xsi:type="dcterms:W3CDTF">2026-04-15T01:16:03Z</dcterms:modified>
</cp:coreProperties>
</file>